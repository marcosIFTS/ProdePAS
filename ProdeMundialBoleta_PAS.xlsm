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D:\www\ProdePAS\"/>
    </mc:Choice>
  </mc:AlternateContent>
  <xr:revisionPtr revIDLastSave="0" documentId="13_ncr:1_{6B8BA723-AB6E-4620-853B-3453766ADB57}" xr6:coauthVersionLast="47" xr6:coauthVersionMax="47" xr10:uidLastSave="{00000000-0000-0000-0000-000000000000}"/>
  <bookViews>
    <workbookView xWindow="-120" yWindow="-120" windowWidth="19440" windowHeight="10440" tabRatio="908" firstSheet="1" activeTab="1" xr2:uid="{00000000-000D-0000-FFFF-FFFF00000000}"/>
  </bookViews>
  <sheets>
    <sheet name="TABLA_GENERAL" sheetId="1" r:id="rId1"/>
    <sheet name="RESULTADOS_OFICIALES" sheetId="2" r:id="rId2"/>
    <sheet name="MIPRODE_Marcos" sheetId="3" r:id="rId3"/>
    <sheet name="MIPRODE_Martin" sheetId="4" r:id="rId4"/>
    <sheet name="MIPRODE_Alejandra" sheetId="5" r:id="rId5"/>
    <sheet name="MIPRODE_Claudia" sheetId="6" r:id="rId6"/>
    <sheet name="MIPRODE_Fernando" sheetId="7" r:id="rId7"/>
    <sheet name="MIPRODE_Gustavo" sheetId="8" r:id="rId8"/>
    <sheet name="MIPRODE_Janina" sheetId="9" r:id="rId9"/>
    <sheet name="MIPRODE_Julieta" sheetId="10" r:id="rId10"/>
    <sheet name="MIPRODE_Mariela" sheetId="11" r:id="rId11"/>
    <sheet name="MIPRODE_Matias" sheetId="12" r:id="rId12"/>
    <sheet name="MIPRODE_Paula" sheetId="13" r:id="rId13"/>
    <sheet name="MIPRODE_Raul" sheetId="14" r:id="rId14"/>
    <sheet name="MIPRODE_Ruben" sheetId="15" r:id="rId15"/>
    <sheet name="MIPRODE_Sabrina" sheetId="16" r:id="rId16"/>
    <sheet name="MIPRODE_Samanta" sheetId="17" r:id="rId17"/>
    <sheet name="MIPRODE_Vanesa" sheetId="18" r:id="rId18"/>
    <sheet name="MIPRODE_Yesica" sheetId="19" r:id="rId19"/>
  </sheets>
  <definedNames>
    <definedName name="_xlnm._FilterDatabase" localSheetId="0" hidden="1">TABLA_GENERAL!$A$1:$F$18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3" i="2" l="1"/>
  <c r="I93" i="2"/>
  <c r="J92" i="2"/>
  <c r="I92" i="2"/>
  <c r="J91" i="2"/>
  <c r="I91" i="2"/>
  <c r="J90" i="2"/>
  <c r="I90" i="2"/>
  <c r="J89" i="2"/>
  <c r="I89" i="2"/>
  <c r="J88" i="2"/>
  <c r="I88" i="2"/>
  <c r="J86" i="2"/>
  <c r="I86" i="2"/>
  <c r="J85" i="2"/>
  <c r="I85" i="2"/>
  <c r="J84" i="2"/>
  <c r="I84" i="2"/>
  <c r="J83" i="2"/>
  <c r="I83" i="2"/>
  <c r="J82" i="2"/>
  <c r="I82" i="2"/>
  <c r="J81" i="2"/>
  <c r="I81" i="2"/>
  <c r="J79" i="2"/>
  <c r="I79" i="2"/>
  <c r="J78" i="2"/>
  <c r="I78" i="2"/>
  <c r="J77" i="2"/>
  <c r="I77" i="2"/>
  <c r="J76" i="2"/>
  <c r="I76" i="2"/>
  <c r="J75" i="2"/>
  <c r="I75" i="2"/>
  <c r="J74" i="2"/>
  <c r="I74" i="2"/>
  <c r="J72" i="2"/>
  <c r="I72" i="2"/>
  <c r="J71" i="2"/>
  <c r="I71" i="2"/>
  <c r="J70" i="2"/>
  <c r="I70" i="2"/>
  <c r="J69" i="2"/>
  <c r="I69" i="2"/>
  <c r="J68" i="2"/>
  <c r="I68" i="2"/>
  <c r="J67" i="2"/>
  <c r="I67" i="2"/>
  <c r="J65" i="2"/>
  <c r="I65" i="2"/>
  <c r="J64" i="2"/>
  <c r="I64" i="2"/>
  <c r="J63" i="2"/>
  <c r="I63" i="2"/>
  <c r="J62" i="2"/>
  <c r="I62" i="2"/>
  <c r="J60" i="2"/>
  <c r="I60" i="2"/>
  <c r="J59" i="2"/>
  <c r="I59" i="2"/>
  <c r="J58" i="2"/>
  <c r="I58" i="2"/>
  <c r="J57" i="2"/>
  <c r="I57" i="2"/>
  <c r="J55" i="2"/>
  <c r="I55" i="2"/>
  <c r="J54" i="2"/>
  <c r="I54" i="2"/>
  <c r="J53" i="2"/>
  <c r="I53" i="2"/>
  <c r="J52" i="2"/>
  <c r="I52" i="2"/>
  <c r="J51" i="2"/>
  <c r="I51" i="2"/>
  <c r="J49" i="2"/>
  <c r="I49" i="2"/>
  <c r="J48" i="2"/>
  <c r="I48" i="2"/>
  <c r="J47" i="2"/>
  <c r="I47" i="2"/>
  <c r="J45" i="2"/>
  <c r="I45" i="2"/>
  <c r="J44" i="2"/>
  <c r="I44" i="2"/>
  <c r="J43" i="2"/>
  <c r="I43" i="2"/>
  <c r="J42" i="2"/>
  <c r="I42" i="2"/>
  <c r="J40" i="2"/>
  <c r="I40" i="2"/>
  <c r="J39" i="2"/>
  <c r="I39" i="2"/>
  <c r="J38" i="2"/>
  <c r="I38" i="2"/>
  <c r="J37" i="2"/>
  <c r="I37" i="2"/>
  <c r="J35" i="2"/>
  <c r="I35" i="2"/>
  <c r="J34" i="2"/>
  <c r="I34" i="2"/>
  <c r="J33" i="2"/>
  <c r="I33" i="2"/>
  <c r="J32" i="2"/>
  <c r="I32" i="2"/>
  <c r="J31" i="2"/>
  <c r="I31" i="2"/>
  <c r="J29" i="2"/>
  <c r="I29" i="2"/>
  <c r="J28" i="2"/>
  <c r="I28" i="2"/>
  <c r="J27" i="2"/>
  <c r="I27" i="2"/>
  <c r="J25" i="2"/>
  <c r="I25" i="2"/>
  <c r="J24" i="2"/>
  <c r="I24" i="2"/>
  <c r="J23" i="2"/>
  <c r="I23" i="2"/>
  <c r="J22" i="2"/>
  <c r="I22" i="2"/>
  <c r="J20" i="2"/>
  <c r="I20" i="2"/>
  <c r="J19" i="2"/>
  <c r="I19" i="2"/>
  <c r="J18" i="2"/>
  <c r="I18" i="2"/>
  <c r="J17" i="2"/>
  <c r="I17" i="2"/>
  <c r="J16" i="2"/>
  <c r="I16" i="2"/>
  <c r="J14" i="2"/>
  <c r="I14" i="2"/>
  <c r="J13" i="2"/>
  <c r="I13" i="2"/>
  <c r="J12" i="2"/>
  <c r="I12" i="2"/>
  <c r="J10" i="2"/>
  <c r="I10" i="2"/>
  <c r="J9" i="2"/>
  <c r="I9" i="2"/>
  <c r="J7" i="2"/>
  <c r="I7" i="2"/>
  <c r="J6" i="2"/>
  <c r="I6" i="2"/>
  <c r="C14" i="1"/>
  <c r="C12" i="1"/>
  <c r="C18" i="1"/>
  <c r="C13" i="1"/>
  <c r="C5" i="1"/>
  <c r="C3" i="1"/>
  <c r="C17" i="1"/>
  <c r="C16" i="1"/>
  <c r="C7" i="1"/>
  <c r="C8" i="1"/>
  <c r="C6" i="1"/>
  <c r="C10" i="1"/>
  <c r="C2" i="1"/>
  <c r="C4" i="1"/>
  <c r="C15" i="1"/>
  <c r="C11" i="1"/>
  <c r="C9" i="1"/>
  <c r="E9" i="1"/>
  <c r="E4" i="1"/>
  <c r="F8" i="1"/>
  <c r="E13" i="1"/>
  <c r="F2" i="1"/>
  <c r="E18" i="1"/>
  <c r="F14" i="1"/>
  <c r="E14" i="1"/>
  <c r="F11" i="1"/>
  <c r="E5" i="1"/>
  <c r="E6" i="1"/>
  <c r="E11" i="1" a="1"/>
  <c r="E12" i="1"/>
  <c r="F17" i="1"/>
  <c r="F9" i="1"/>
  <c r="F3" i="1"/>
  <c r="F18" i="1"/>
  <c r="E17" i="1"/>
  <c r="E8" i="1"/>
  <c r="E10" i="1"/>
  <c r="E2" i="1"/>
  <c r="E16" i="1"/>
  <c r="F10" i="1"/>
  <c r="F15" i="1"/>
  <c r="E15" i="1"/>
  <c r="E7" i="1"/>
  <c r="F16" i="1"/>
  <c r="E3" i="1"/>
  <c r="F7" i="1"/>
  <c r="F5" i="1"/>
  <c r="F4" i="1"/>
  <c r="F13" i="1"/>
  <c r="F6" i="1"/>
  <c r="F12" i="1"/>
  <c r="D6" i="1" l="1"/>
  <c r="D18" i="1"/>
  <c r="D15" i="1"/>
  <c r="D17" i="1"/>
  <c r="D10" i="1"/>
  <c r="D13" i="1"/>
  <c r="E11" i="1"/>
  <c r="D11" i="1" s="1"/>
  <c r="D16" i="1"/>
  <c r="D9" i="1"/>
  <c r="D2" i="1"/>
  <c r="D7" i="1"/>
  <c r="D5" i="1"/>
  <c r="D14" i="1"/>
  <c r="D8" i="1"/>
  <c r="D12" i="1"/>
  <c r="D4" i="1"/>
  <c r="D3" i="1"/>
  <c r="I18" i="1" l="1"/>
  <c r="L18" i="1" s="1"/>
  <c r="I15" i="1"/>
  <c r="I16" i="1"/>
  <c r="I17" i="1"/>
  <c r="I5" i="1"/>
  <c r="L5" i="1" s="1"/>
  <c r="I12" i="1"/>
  <c r="L12" i="1" s="1"/>
  <c r="I6" i="1"/>
  <c r="L6" i="1" s="1"/>
  <c r="I4" i="1"/>
  <c r="L4" i="1" s="1"/>
  <c r="I10" i="1"/>
  <c r="L10" i="1" s="1"/>
  <c r="I14" i="1"/>
  <c r="L14" i="1" s="1"/>
  <c r="I11" i="1"/>
  <c r="L11" i="1" s="1"/>
  <c r="I3" i="1"/>
  <c r="L3" i="1" s="1"/>
  <c r="I13" i="1"/>
  <c r="L13" i="1" s="1"/>
  <c r="I7" i="1"/>
  <c r="L7" i="1" s="1"/>
  <c r="I9" i="1"/>
  <c r="L9" i="1" s="1"/>
  <c r="I8" i="1"/>
  <c r="L8" i="1" s="1"/>
  <c r="A11" i="1"/>
  <c r="A18" i="1"/>
  <c r="J14" i="1"/>
  <c r="A6" i="1"/>
  <c r="A17" i="1"/>
  <c r="J10" i="1"/>
  <c r="J6" i="1"/>
  <c r="A15" i="1"/>
  <c r="J18" i="1"/>
  <c r="J2" i="1"/>
  <c r="A8" i="1"/>
  <c r="J7" i="1"/>
  <c r="I2" i="1"/>
  <c r="A3" i="1"/>
  <c r="J11" i="1"/>
  <c r="A4" i="1"/>
  <c r="J3" i="1"/>
  <c r="A12" i="1"/>
  <c r="J15" i="1"/>
  <c r="A5" i="1"/>
  <c r="J12" i="1"/>
  <c r="A7" i="1"/>
  <c r="J8" i="1"/>
  <c r="A2" i="1"/>
  <c r="J4" i="1"/>
  <c r="A14" i="1"/>
  <c r="J16" i="1"/>
  <c r="A9" i="1"/>
  <c r="A16" i="1"/>
  <c r="J9" i="1"/>
  <c r="A10" i="1"/>
  <c r="J5" i="1"/>
  <c r="A13" i="1"/>
  <c r="J13" i="1"/>
  <c r="J17" i="1"/>
  <c r="K18" i="1" l="1"/>
  <c r="L15" i="1"/>
  <c r="K15" i="1"/>
  <c r="K16" i="1"/>
  <c r="L16" i="1"/>
  <c r="L17" i="1"/>
  <c r="K17" i="1"/>
  <c r="K5" i="1"/>
  <c r="K11" i="1"/>
  <c r="K9" i="1"/>
  <c r="K7" i="1"/>
  <c r="K3" i="1"/>
  <c r="K8" i="1"/>
  <c r="K12" i="1"/>
  <c r="K10" i="1"/>
  <c r="K6" i="1"/>
  <c r="K4" i="1"/>
  <c r="K13" i="1"/>
  <c r="K14" i="1"/>
  <c r="L2" i="1"/>
  <c r="K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1" authorId="0" shapeId="0" xr:uid="{00000000-0006-0000-0000-000001000000}">
      <text>
        <r>
          <rPr>
            <sz val="11"/>
            <color theme="1"/>
            <rFont val="Calibri"/>
            <charset val="1"/>
          </rPr>
          <t>Fórmula: Puntos Totales = 2 × Resultados Acertados + 1 × Marcadores Exactos.</t>
        </r>
      </text>
    </comment>
    <comment ref="E1" authorId="0" shapeId="0" xr:uid="{00000000-0006-0000-0000-000002000000}">
      <text>
        <r>
          <rPr>
            <sz val="11"/>
            <color theme="1"/>
            <rFont val="Calibri"/>
            <charset val="1"/>
          </rPr>
          <t>Cuenta los partidos cuyo marcador pronosticado coincide exactamente con el resultado oficial.</t>
        </r>
      </text>
    </comment>
    <comment ref="F1" authorId="0" shapeId="0" xr:uid="{00000000-0006-0000-0000-000003000000}">
      <text>
        <r>
          <rPr>
            <sz val="11"/>
            <color theme="1"/>
            <rFont val="Calibri"/>
            <charset val="1"/>
          </rPr>
          <t>Cuenta los partidos cuyo signo pronosticado coincide con el resultado oficial: gana local, empate o gana visitante.</t>
        </r>
      </text>
    </comment>
  </commentList>
</comments>
</file>

<file path=xl/sharedStrings.xml><?xml version="1.0" encoding="utf-8"?>
<sst xmlns="http://schemas.openxmlformats.org/spreadsheetml/2006/main" count="8395" uniqueCount="181">
  <si>
    <t>Posición</t>
  </si>
  <si>
    <t>UsuarioTab</t>
  </si>
  <si>
    <t>Usuario</t>
  </si>
  <si>
    <t>Puntos Totales</t>
  </si>
  <si>
    <t>Marcadores Exactos</t>
  </si>
  <si>
    <t>Resultados Acertados</t>
  </si>
  <si>
    <t>Pos</t>
  </si>
  <si>
    <t>Puntos</t>
  </si>
  <si>
    <t>Exactos</t>
  </si>
  <si>
    <t>Acertados</t>
  </si>
  <si>
    <t>Paula</t>
  </si>
  <si>
    <t>Julieta</t>
  </si>
  <si>
    <t>Ruben</t>
  </si>
  <si>
    <t>Sabrina</t>
  </si>
  <si>
    <t>Martin</t>
  </si>
  <si>
    <t>Alejandra</t>
  </si>
  <si>
    <t>Mariela</t>
  </si>
  <si>
    <t>Raul</t>
  </si>
  <si>
    <t>Marcos</t>
  </si>
  <si>
    <t>Claudia</t>
  </si>
  <si>
    <t>Fernando</t>
  </si>
  <si>
    <t>Gustavo</t>
  </si>
  <si>
    <t>Janina</t>
  </si>
  <si>
    <t>Matias</t>
  </si>
  <si>
    <t>Samanta</t>
  </si>
  <si>
    <t>Vanesa</t>
  </si>
  <si>
    <t>Yesica</t>
  </si>
  <si>
    <t>⚽  RESULTADOS REALES  —  COPA MUNDIAL 2026  |  (Para uso del organizador)</t>
  </si>
  <si>
    <t>Completá los GOLES reales a medida que finalizan los partidos. La columna RESULTADO se calcula automáticamente.</t>
  </si>
  <si>
    <t>N°</t>
  </si>
  <si>
    <t>FECHA</t>
  </si>
  <si>
    <t>GRP</t>
  </si>
  <si>
    <t>SELECCIÓN LOCAL</t>
  </si>
  <si>
    <t>GL</t>
  </si>
  <si>
    <t>—</t>
  </si>
  <si>
    <t>GV</t>
  </si>
  <si>
    <t>SELECCIÓN VISITANTE</t>
  </si>
  <si>
    <t>RESULT</t>
  </si>
  <si>
    <t>ESTADO</t>
  </si>
  <si>
    <t>ESTADIO</t>
  </si>
  <si>
    <t xml:space="preserve">  JUE 11 JUN</t>
  </si>
  <si>
    <t>jue 11 Jun</t>
  </si>
  <si>
    <t>A</t>
  </si>
  <si>
    <t>MÉXICO</t>
  </si>
  <si>
    <t>SUDÁFRICA</t>
  </si>
  <si>
    <t>Ciudad de México</t>
  </si>
  <si>
    <t>COREA DEL SUR</t>
  </si>
  <si>
    <t>REP. CHECA</t>
  </si>
  <si>
    <t>Guadalajara</t>
  </si>
  <si>
    <t xml:space="preserve">  VIE 12 JUN</t>
  </si>
  <si>
    <t>vie 12 Jun</t>
  </si>
  <si>
    <t>B</t>
  </si>
  <si>
    <t>CANADÁ</t>
  </si>
  <si>
    <t>BOSNIA Y HERZEG.</t>
  </si>
  <si>
    <t>Toronto</t>
  </si>
  <si>
    <t>D</t>
  </si>
  <si>
    <t>ESTADOS UNIDOS</t>
  </si>
  <si>
    <t>PARAGUAY</t>
  </si>
  <si>
    <t>Los Ángeles</t>
  </si>
  <si>
    <t xml:space="preserve">  SÁB 13 JUN</t>
  </si>
  <si>
    <t>sáb 13 Jun</t>
  </si>
  <si>
    <t>C</t>
  </si>
  <si>
    <t>HAITÍ</t>
  </si>
  <si>
    <t>ESCOCIA</t>
  </si>
  <si>
    <t>Boston</t>
  </si>
  <si>
    <t>BRASIL</t>
  </si>
  <si>
    <t>MARRUECOS</t>
  </si>
  <si>
    <t>Nueva York/NJ</t>
  </si>
  <si>
    <t>CATAR</t>
  </si>
  <si>
    <t>SUIZA</t>
  </si>
  <si>
    <t>Bahía de San Francisco</t>
  </si>
  <si>
    <t xml:space="preserve">  DOM 14 JUN</t>
  </si>
  <si>
    <t>dom 14 Jun</t>
  </si>
  <si>
    <t>AUSTRALIA</t>
  </si>
  <si>
    <t>TURQUÍA</t>
  </si>
  <si>
    <t>BC Place Vancouver</t>
  </si>
  <si>
    <t>E</t>
  </si>
  <si>
    <t>ALEMANIA</t>
  </si>
  <si>
    <t>CURAZAO</t>
  </si>
  <si>
    <t>Houston</t>
  </si>
  <si>
    <t>F</t>
  </si>
  <si>
    <t>PAÍSES BAJOS</t>
  </si>
  <si>
    <t>JAPÓN</t>
  </si>
  <si>
    <t>Dallas</t>
  </si>
  <si>
    <t>COSTA DE MARFIL</t>
  </si>
  <si>
    <t>ECUADOR</t>
  </si>
  <si>
    <t>Filadelfia</t>
  </si>
  <si>
    <t>SUECIA</t>
  </si>
  <si>
    <t>TÚNEZ</t>
  </si>
  <si>
    <t>Monterrey</t>
  </si>
  <si>
    <t xml:space="preserve">  LUN 15 JUN</t>
  </si>
  <si>
    <t>lun 15 Jun</t>
  </si>
  <si>
    <t>H</t>
  </si>
  <si>
    <t>ESPAÑA</t>
  </si>
  <si>
    <t>CABO VERDE</t>
  </si>
  <si>
    <t>Atlanta</t>
  </si>
  <si>
    <t>G</t>
  </si>
  <si>
    <t>BÉLGICA</t>
  </si>
  <si>
    <t>EGIPTO</t>
  </si>
  <si>
    <t>Seattle</t>
  </si>
  <si>
    <t>ARABIA SAUDITA</t>
  </si>
  <si>
    <t>URUGUAY</t>
  </si>
  <si>
    <t>Miami</t>
  </si>
  <si>
    <t>IRÁN</t>
  </si>
  <si>
    <t>NUEVA ZELANDA</t>
  </si>
  <si>
    <t xml:space="preserve">  MAR 16 JUN</t>
  </si>
  <si>
    <t>mar 16 Jun</t>
  </si>
  <si>
    <t>I</t>
  </si>
  <si>
    <t>FRANCIA</t>
  </si>
  <si>
    <t>SENEGAL</t>
  </si>
  <si>
    <t>IRAK</t>
  </si>
  <si>
    <t>NORUEGA</t>
  </si>
  <si>
    <t>J</t>
  </si>
  <si>
    <t>ARGENTINA</t>
  </si>
  <si>
    <t>ARGELIA</t>
  </si>
  <si>
    <t>Kansas City</t>
  </si>
  <si>
    <t xml:space="preserve">  MIÉ 17 JUN</t>
  </si>
  <si>
    <t>mié 17 Jun</t>
  </si>
  <si>
    <t>AUSTRIA</t>
  </si>
  <si>
    <t>JORDANIA</t>
  </si>
  <si>
    <t>K</t>
  </si>
  <si>
    <t>PORTUGAL</t>
  </si>
  <si>
    <t>REP. DEL CONGO</t>
  </si>
  <si>
    <t>L</t>
  </si>
  <si>
    <t>INGLATERRA</t>
  </si>
  <si>
    <t>CROACIA</t>
  </si>
  <si>
    <t>GHANA</t>
  </si>
  <si>
    <t>PANAMÁ</t>
  </si>
  <si>
    <t>UZBEKISTÁN</t>
  </si>
  <si>
    <t>COLOMBIA</t>
  </si>
  <si>
    <t xml:space="preserve">  JUE 18 JUN</t>
  </si>
  <si>
    <t>jue 18 Jun</t>
  </si>
  <si>
    <t xml:space="preserve">  VIE 19 JUN</t>
  </si>
  <si>
    <t>vie 19 Jun</t>
  </si>
  <si>
    <t xml:space="preserve">  SÁB 20 JUN</t>
  </si>
  <si>
    <t>sáb 20 Jun</t>
  </si>
  <si>
    <t xml:space="preserve">  DOM 21 JUN</t>
  </si>
  <si>
    <t>dom 21 Jun</t>
  </si>
  <si>
    <t xml:space="preserve">  LUN 22 JUN</t>
  </si>
  <si>
    <t>lun 22 Jun</t>
  </si>
  <si>
    <t xml:space="preserve">  MAR 23 JUN</t>
  </si>
  <si>
    <t>mar 23 Jun</t>
  </si>
  <si>
    <t xml:space="preserve">  MIÉ 24 JUN</t>
  </si>
  <si>
    <t>mié 24 Jun</t>
  </si>
  <si>
    <t xml:space="preserve">  JUE 25 JUN</t>
  </si>
  <si>
    <t>jue 25 Jun</t>
  </si>
  <si>
    <t xml:space="preserve">  VIE 26 JUN</t>
  </si>
  <si>
    <t>vie 26 Jun</t>
  </si>
  <si>
    <t xml:space="preserve">  SÁB 27 JUN</t>
  </si>
  <si>
    <t>sáb 27 Jun</t>
  </si>
  <si>
    <t>⚽  PRODE MUNDIAL 2026  —  USA · CANADÁ · MÉXICO  ⚽</t>
  </si>
  <si>
    <t>ESTE PRODE PERTENECE A:</t>
  </si>
  <si>
    <t>Marquinhos</t>
  </si>
  <si>
    <t>FASE DE GRUPOS  |  72 PARTIDOS  |  11 JUN – 27 JUN 2026</t>
  </si>
  <si>
    <t>INSTRUCCIONES:  Completá el marcador pronosticado (GOLES). Puntuación: 2 puntos por acertar el resultado ganador/empate (1/X/2)  ·  +1 punto adicional por acertar el marcador exacto.</t>
  </si>
  <si>
    <t>Horario</t>
  </si>
  <si>
    <t xml:space="preserve"> </t>
  </si>
  <si>
    <t xml:space="preserve">  ──  JUE 11 JUN  ──</t>
  </si>
  <si>
    <t xml:space="preserve">  ──  VIE 12 JUN  ──</t>
  </si>
  <si>
    <t xml:space="preserve">  ──  SÁB 13 JUN  ──</t>
  </si>
  <si>
    <t xml:space="preserve">  ──  DOM 14 JUN  ──</t>
  </si>
  <si>
    <t xml:space="preserve">  ──  LUN 15 JUN  ──</t>
  </si>
  <si>
    <t xml:space="preserve">  ──  MAR 16 JUN  ──</t>
  </si>
  <si>
    <t xml:space="preserve">  ──  MIÉ 17 JUN  ──</t>
  </si>
  <si>
    <t xml:space="preserve">  ──  JUE 18 JUN  ──</t>
  </si>
  <si>
    <t xml:space="preserve">  ──  VIE 19 JUN  ──</t>
  </si>
  <si>
    <t xml:space="preserve">  ──  SÁB 20 JUN  ──</t>
  </si>
  <si>
    <t xml:space="preserve">  ──  DOM 21 JUN  ──</t>
  </si>
  <si>
    <t xml:space="preserve">  ──  LUN 22 JUN  ──</t>
  </si>
  <si>
    <t xml:space="preserve">  ──  MAR 23 JUN  ──</t>
  </si>
  <si>
    <t xml:space="preserve">  ──  MIÉ 24 JUN  ──</t>
  </si>
  <si>
    <t xml:space="preserve">  ──  JUE 25 JUN  ──</t>
  </si>
  <si>
    <t xml:space="preserve">  ──  VIE 26 JUN  ──</t>
  </si>
  <si>
    <t xml:space="preserve">  ──  SÁB 27 JUN  ──</t>
  </si>
  <si>
    <t>⭐ PUNTUACIÓN:  3 pts = marcador exacto   |   1 pto = resultado correcto (1/X/2)   |   0 pts = error</t>
  </si>
  <si>
    <t>The Boss</t>
  </si>
  <si>
    <t>fraud advisor Jani</t>
  </si>
  <si>
    <t>Marie</t>
  </si>
  <si>
    <t>La Emperatriz</t>
  </si>
  <si>
    <t>RAULO</t>
  </si>
  <si>
    <t>SABRINA (LA MAS MEJOR)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</si>
</sst>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x14ac:knownFonts="1">
    <font>
      <sz val="11"/>
      <color theme="1"/>
      <name val="Calibri"/>
      <charset val="1"/>
    </font>
    <font>
      <b/>
      <sz val="11"/>
      <color rgb="FFFFFFFF"/>
      <name val="Calibri"/>
      <family val="2"/>
      <charset val="1"/>
    </font>
    <font>
      <b/>
      <sz val="14"/>
      <color rgb="FFFFFFFF"/>
      <name val="Arial"/>
      <family val="2"/>
      <charset val="1"/>
    </font>
    <font>
      <i/>
      <sz val="9"/>
      <color rgb="FF555555"/>
      <name val="Arial"/>
      <family val="2"/>
      <charset val="1"/>
    </font>
    <font>
      <sz val="11"/>
      <color theme="1"/>
      <name val="Calibri"/>
      <family val="2"/>
      <charset val="1"/>
    </font>
    <font>
      <b/>
      <sz val="9"/>
      <color rgb="FFFFFFFF"/>
      <name val="Arial"/>
      <family val="2"/>
      <charset val="1"/>
    </font>
    <font>
      <b/>
      <sz val="9"/>
      <color rgb="FFC0392B"/>
      <name val="Arial"/>
      <family val="2"/>
      <charset val="1"/>
    </font>
    <font>
      <sz val="8"/>
      <color rgb="FF555555"/>
      <name val="Arial"/>
      <family val="2"/>
      <charset val="1"/>
    </font>
    <font>
      <b/>
      <sz val="10"/>
      <color rgb="FF000000"/>
      <name val="Arial"/>
      <family val="2"/>
      <charset val="1"/>
    </font>
    <font>
      <b/>
      <sz val="12"/>
      <color rgb="FF006600"/>
      <name val="Arial"/>
      <family val="2"/>
      <charset val="1"/>
    </font>
    <font>
      <sz val="9"/>
      <color rgb="FF888888"/>
      <name val="Arial"/>
      <family val="2"/>
      <charset val="1"/>
    </font>
    <font>
      <b/>
      <sz val="10"/>
      <color rgb="FF003366"/>
      <name val="Arial"/>
      <family val="2"/>
      <charset val="1"/>
    </font>
    <font>
      <i/>
      <sz val="8"/>
      <color rgb="FF555555"/>
      <name val="Arial"/>
      <family val="2"/>
      <charset val="1"/>
    </font>
    <font>
      <i/>
      <sz val="8"/>
      <color rgb="FF777777"/>
      <name val="Arial"/>
      <family val="2"/>
      <charset val="1"/>
    </font>
    <font>
      <b/>
      <sz val="9"/>
      <color rgb="FFD35400"/>
      <name val="Arial"/>
      <family val="2"/>
      <charset val="1"/>
    </font>
    <font>
      <b/>
      <sz val="9"/>
      <color rgb="FF196F3D"/>
      <name val="Arial"/>
      <family val="2"/>
      <charset val="1"/>
    </font>
    <font>
      <b/>
      <sz val="9"/>
      <color rgb="FFB7950B"/>
      <name val="Arial"/>
      <family val="2"/>
      <charset val="1"/>
    </font>
    <font>
      <b/>
      <sz val="9"/>
      <color rgb="FF117A65"/>
      <name val="Arial"/>
      <family val="2"/>
      <charset val="1"/>
    </font>
    <font>
      <b/>
      <sz val="9"/>
      <color rgb="FF1A5276"/>
      <name val="Arial"/>
      <family val="2"/>
      <charset val="1"/>
    </font>
    <font>
      <b/>
      <sz val="9"/>
      <color rgb="FF922B21"/>
      <name val="Arial"/>
      <family val="2"/>
      <charset val="1"/>
    </font>
    <font>
      <b/>
      <sz val="9"/>
      <color rgb="FF76448A"/>
      <name val="Arial"/>
      <family val="2"/>
      <charset val="1"/>
    </font>
    <font>
      <b/>
      <sz val="9"/>
      <color rgb="FFA04000"/>
      <name val="Arial"/>
      <family val="2"/>
      <charset val="1"/>
    </font>
    <font>
      <b/>
      <sz val="9"/>
      <color rgb="FF1E8449"/>
      <name val="Arial"/>
      <family val="2"/>
      <charset val="1"/>
    </font>
    <font>
      <b/>
      <sz val="9"/>
      <color rgb="FF0E6655"/>
      <name val="Arial"/>
      <family val="2"/>
      <charset val="1"/>
    </font>
    <font>
      <b/>
      <sz val="9"/>
      <color rgb="FF5D4037"/>
      <name val="Arial"/>
      <family val="2"/>
      <charset val="1"/>
    </font>
    <font>
      <b/>
      <sz val="16"/>
      <color rgb="FFFFFFFF"/>
      <name val="Arial"/>
      <family val="2"/>
      <charset val="1"/>
    </font>
    <font>
      <i/>
      <sz val="11"/>
      <color rgb="FF999999"/>
      <name val="Arial"/>
      <family val="2"/>
      <charset val="1"/>
    </font>
    <font>
      <sz val="9"/>
      <color rgb="FFFFFFFF"/>
      <name val="Arial"/>
      <family val="2"/>
      <charset val="1"/>
    </font>
    <font>
      <i/>
      <sz val="9"/>
      <color rgb="FF333333"/>
      <name val="Arial"/>
      <family val="2"/>
      <charset val="1"/>
    </font>
    <font>
      <b/>
      <sz val="10"/>
      <color rgb="FF1A1A1A"/>
      <name val="Arial"/>
      <family val="2"/>
      <charset val="1"/>
    </font>
    <font>
      <b/>
      <sz val="12"/>
      <color rgb="FFC0392B"/>
      <name val="Arial"/>
      <family val="2"/>
      <charset val="1"/>
    </font>
    <font>
      <i/>
      <sz val="8"/>
      <color rgb="FF666666"/>
      <name val="Arial"/>
      <family val="2"/>
      <charset val="1"/>
    </font>
    <font>
      <b/>
      <sz val="12"/>
      <color rgb="FFD35400"/>
      <name val="Arial"/>
      <family val="2"/>
      <charset val="1"/>
    </font>
    <font>
      <b/>
      <sz val="12"/>
      <color rgb="FF196F3D"/>
      <name val="Arial"/>
      <family val="2"/>
      <charset val="1"/>
    </font>
    <font>
      <b/>
      <sz val="12"/>
      <color rgb="FFB7950B"/>
      <name val="Arial"/>
      <family val="2"/>
      <charset val="1"/>
    </font>
    <font>
      <b/>
      <sz val="12"/>
      <color rgb="FF117A65"/>
      <name val="Arial"/>
      <family val="2"/>
      <charset val="1"/>
    </font>
    <font>
      <b/>
      <sz val="12"/>
      <color rgb="FF1A5276"/>
      <name val="Arial"/>
      <family val="2"/>
      <charset val="1"/>
    </font>
    <font>
      <b/>
      <sz val="12"/>
      <color rgb="FF922B21"/>
      <name val="Arial"/>
      <family val="2"/>
      <charset val="1"/>
    </font>
    <font>
      <b/>
      <sz val="12"/>
      <color rgb="FF76448A"/>
      <name val="Arial"/>
      <family val="2"/>
      <charset val="1"/>
    </font>
    <font>
      <b/>
      <sz val="12"/>
      <color rgb="FFA04000"/>
      <name val="Arial"/>
      <family val="2"/>
      <charset val="1"/>
    </font>
    <font>
      <b/>
      <sz val="12"/>
      <color rgb="FF1E8449"/>
      <name val="Arial"/>
      <family val="2"/>
      <charset val="1"/>
    </font>
    <font>
      <b/>
      <sz val="12"/>
      <color rgb="FF0E6655"/>
      <name val="Arial"/>
      <family val="2"/>
      <charset val="1"/>
    </font>
    <font>
      <b/>
      <sz val="12"/>
      <color rgb="FF5D4037"/>
      <name val="Arial"/>
      <family val="2"/>
      <charset val="1"/>
    </font>
    <font>
      <b/>
      <sz val="11"/>
      <name val="Calibri"/>
    </font>
  </fonts>
  <fills count="39">
    <fill>
      <patternFill patternType="none"/>
    </fill>
    <fill>
      <patternFill patternType="gray125"/>
    </fill>
    <fill>
      <patternFill patternType="solid">
        <fgColor rgb="FF4F81BD"/>
        <bgColor rgb="FF777777"/>
      </patternFill>
    </fill>
    <fill>
      <patternFill patternType="solid">
        <fgColor rgb="FF1B2631"/>
        <bgColor rgb="FF1A1A1A"/>
      </patternFill>
    </fill>
    <fill>
      <patternFill patternType="solid">
        <fgColor rgb="FFF0F0F0"/>
        <bgColor rgb="FFEFEBE9"/>
      </patternFill>
    </fill>
    <fill>
      <patternFill patternType="solid">
        <fgColor rgb="FFFFFFFF"/>
        <bgColor rgb="FFFAFAFA"/>
      </patternFill>
    </fill>
    <fill>
      <patternFill patternType="solid">
        <fgColor rgb="FF2C3E50"/>
        <bgColor rgb="FF34495E"/>
      </patternFill>
    </fill>
    <fill>
      <patternFill patternType="solid">
        <fgColor rgb="FFFDE8E8"/>
        <bgColor rgb="FFFBE9E7"/>
      </patternFill>
    </fill>
    <fill>
      <patternFill patternType="solid">
        <fgColor rgb="FFFAFAFA"/>
        <bgColor rgb="FFF9F9F9"/>
      </patternFill>
    </fill>
    <fill>
      <patternFill patternType="solid">
        <fgColor rgb="FFC0392B"/>
        <bgColor rgb="FFA04000"/>
      </patternFill>
    </fill>
    <fill>
      <patternFill patternType="solid">
        <fgColor rgb="FFE8F5E9"/>
        <bgColor rgb="FFEAF6EA"/>
      </patternFill>
    </fill>
    <fill>
      <patternFill patternType="solid">
        <fgColor rgb="FFF5F5F5"/>
        <bgColor rgb="FFF9F9F9"/>
      </patternFill>
    </fill>
    <fill>
      <patternFill patternType="solid">
        <fgColor rgb="FFEAF0FB"/>
        <bgColor rgb="FFE3F2FD"/>
      </patternFill>
    </fill>
    <fill>
      <patternFill patternType="solid">
        <fgColor rgb="FFF9F9F9"/>
        <bgColor rgb="FFFAFAFA"/>
      </patternFill>
    </fill>
    <fill>
      <patternFill patternType="solid">
        <fgColor rgb="FFFEF3E0"/>
        <bgColor rgb="FFFEFBDB"/>
      </patternFill>
    </fill>
    <fill>
      <patternFill patternType="solid">
        <fgColor rgb="FFD35400"/>
        <bgColor rgb="FFC0392B"/>
      </patternFill>
    </fill>
    <fill>
      <patternFill patternType="solid">
        <fgColor rgb="FF196F3D"/>
        <bgColor rgb="FF0E6655"/>
      </patternFill>
    </fill>
    <fill>
      <patternFill patternType="solid">
        <fgColor rgb="FFFEFBDB"/>
        <bgColor rgb="FFFFFDE7"/>
      </patternFill>
    </fill>
    <fill>
      <patternFill patternType="solid">
        <fgColor rgb="FFB7950B"/>
        <bgColor rgb="FF888888"/>
      </patternFill>
    </fill>
    <fill>
      <patternFill patternType="solid">
        <fgColor rgb="FFE0F4F1"/>
        <bgColor rgb="FFE0F7FA"/>
      </patternFill>
    </fill>
    <fill>
      <patternFill patternType="solid">
        <fgColor rgb="FF117A65"/>
        <bgColor rgb="FF1E8449"/>
      </patternFill>
    </fill>
    <fill>
      <patternFill patternType="solid">
        <fgColor rgb="FFE3F2FD"/>
        <bgColor rgb="FFEAF0FB"/>
      </patternFill>
    </fill>
    <fill>
      <patternFill patternType="solid">
        <fgColor rgb="FF1A5276"/>
        <bgColor rgb="FF34495E"/>
      </patternFill>
    </fill>
    <fill>
      <patternFill patternType="solid">
        <fgColor rgb="FFFCE4EC"/>
        <bgColor rgb="FFFDE8E8"/>
      </patternFill>
    </fill>
    <fill>
      <patternFill patternType="solid">
        <fgColor rgb="FF922B21"/>
        <bgColor rgb="FFA04000"/>
      </patternFill>
    </fill>
    <fill>
      <patternFill patternType="solid">
        <fgColor rgb="FFF3E5F5"/>
        <bgColor rgb="FFFCE4EC"/>
      </patternFill>
    </fill>
    <fill>
      <patternFill patternType="solid">
        <fgColor rgb="FF76448A"/>
        <bgColor rgb="FF555555"/>
      </patternFill>
    </fill>
    <fill>
      <patternFill patternType="solid">
        <fgColor rgb="FFFBE9E7"/>
        <bgColor rgb="FFFDE8E8"/>
      </patternFill>
    </fill>
    <fill>
      <patternFill patternType="solid">
        <fgColor rgb="FFA04000"/>
        <bgColor rgb="FF922B21"/>
      </patternFill>
    </fill>
    <fill>
      <patternFill patternType="solid">
        <fgColor rgb="FFEAF6EA"/>
        <bgColor rgb="FFE8F5E9"/>
      </patternFill>
    </fill>
    <fill>
      <patternFill patternType="solid">
        <fgColor rgb="FF1E8449"/>
        <bgColor rgb="FF117A65"/>
      </patternFill>
    </fill>
    <fill>
      <patternFill patternType="solid">
        <fgColor rgb="FFE0F7FA"/>
        <bgColor rgb="FFE0F4F1"/>
      </patternFill>
    </fill>
    <fill>
      <patternFill patternType="solid">
        <fgColor rgb="FF0E6655"/>
        <bgColor rgb="FF196F3D"/>
      </patternFill>
    </fill>
    <fill>
      <patternFill patternType="solid">
        <fgColor rgb="FFEFEBE9"/>
        <bgColor rgb="FFF0F0F0"/>
      </patternFill>
    </fill>
    <fill>
      <patternFill patternType="solid">
        <fgColor rgb="FF5D4037"/>
        <bgColor rgb="FF555555"/>
      </patternFill>
    </fill>
    <fill>
      <patternFill patternType="solid">
        <fgColor rgb="FF003366"/>
        <bgColor rgb="FF1B2631"/>
      </patternFill>
    </fill>
    <fill>
      <patternFill patternType="solid">
        <fgColor rgb="FFFFFDE7"/>
        <bgColor rgb="FFFEFBDB"/>
      </patternFill>
    </fill>
    <fill>
      <patternFill patternType="solid">
        <fgColor rgb="FF1565C0"/>
        <bgColor rgb="FF1A5276"/>
      </patternFill>
    </fill>
    <fill>
      <patternFill patternType="solid">
        <fgColor rgb="FF34495E"/>
        <bgColor rgb="FF2C3E50"/>
      </patternFill>
    </fill>
  </fills>
  <borders count="9">
    <border>
      <left/>
      <right/>
      <top/>
      <bottom/>
      <diagonal/>
    </border>
    <border>
      <left style="thin">
        <color auto="1"/>
      </left>
      <right style="thin">
        <color auto="1"/>
      </right>
      <top style="thin">
        <color auto="1"/>
      </top>
      <bottom style="thin">
        <color auto="1"/>
      </bottom>
      <diagonal/>
    </border>
    <border>
      <left style="thin">
        <color rgb="FFCCCCCC"/>
      </left>
      <right style="thin">
        <color rgb="FFCCCCCC"/>
      </right>
      <top style="thin">
        <color rgb="FFCCCCCC"/>
      </top>
      <bottom style="thin">
        <color rgb="FFCCCCCC"/>
      </bottom>
      <diagonal/>
    </border>
    <border>
      <left style="medium">
        <color rgb="FF27AE60"/>
      </left>
      <right style="medium">
        <color rgb="FF27AE60"/>
      </right>
      <top style="medium">
        <color rgb="FF27AE60"/>
      </top>
      <bottom style="medium">
        <color rgb="FF27AE60"/>
      </bottom>
      <diagonal/>
    </border>
    <border>
      <left style="thin">
        <color rgb="FFCCCCCC"/>
      </left>
      <right/>
      <top style="thin">
        <color rgb="FFCCCCCC"/>
      </top>
      <bottom style="thin">
        <color rgb="FFCCCCCC"/>
      </bottom>
      <diagonal/>
    </border>
    <border>
      <left style="medium">
        <color rgb="FFFFC107"/>
      </left>
      <right/>
      <top style="medium">
        <color rgb="FFFFC107"/>
      </top>
      <bottom style="medium">
        <color rgb="FFFFC107"/>
      </bottom>
      <diagonal/>
    </border>
    <border>
      <left style="medium">
        <color rgb="FFFFC107"/>
      </left>
      <right style="medium">
        <color rgb="FFFFC107"/>
      </right>
      <top style="medium">
        <color rgb="FFFFC107"/>
      </top>
      <bottom style="medium">
        <color rgb="FFFFC107"/>
      </bottom>
      <diagonal/>
    </border>
    <border>
      <left/>
      <right/>
      <top style="thin">
        <color rgb="FFCCCCCC"/>
      </top>
      <bottom style="thin">
        <color rgb="FFCCCCCC"/>
      </bottom>
      <diagonal/>
    </border>
    <border>
      <left/>
      <right/>
      <top style="medium">
        <color rgb="FFFFC107"/>
      </top>
      <bottom style="medium">
        <color rgb="FFFFC107"/>
      </bottom>
      <diagonal/>
    </border>
  </borders>
  <cellStyleXfs count="1">
    <xf numFmtId="0" fontId="0" fillId="0" borderId="0"/>
  </cellStyleXfs>
  <cellXfs count="114">
    <xf numFmtId="0" fontId="0" fillId="0" borderId="0" xfId="0"/>
    <xf numFmtId="0" fontId="1" fillId="2" borderId="1" xfId="0" applyFont="1" applyFill="1" applyBorder="1" applyAlignment="1">
      <alignment horizontal="center"/>
    </xf>
    <xf numFmtId="0" fontId="0" fillId="0" borderId="1" xfId="0" applyBorder="1" applyAlignment="1">
      <alignment horizontal="center"/>
    </xf>
    <xf numFmtId="0" fontId="0" fillId="0" borderId="1" xfId="0" applyBorder="1"/>
    <xf numFmtId="0" fontId="4" fillId="5" borderId="0" xfId="0" applyFont="1" applyFill="1"/>
    <xf numFmtId="0" fontId="5" fillId="3" borderId="2" xfId="0" applyFont="1" applyFill="1" applyBorder="1" applyAlignment="1">
      <alignment horizontal="center" vertical="center"/>
    </xf>
    <xf numFmtId="0" fontId="6" fillId="7" borderId="2" xfId="0" applyFont="1" applyFill="1" applyBorder="1" applyAlignment="1">
      <alignment horizontal="center" vertical="center"/>
    </xf>
    <xf numFmtId="0" fontId="7" fillId="8" borderId="2" xfId="0" applyFont="1" applyFill="1" applyBorder="1" applyAlignment="1">
      <alignment horizontal="center" vertical="center"/>
    </xf>
    <xf numFmtId="0" fontId="5" fillId="9" borderId="2" xfId="0" applyFont="1" applyFill="1" applyBorder="1" applyAlignment="1">
      <alignment horizontal="center" vertical="center"/>
    </xf>
    <xf numFmtId="0" fontId="8" fillId="7" borderId="2" xfId="0" applyFont="1" applyFill="1" applyBorder="1" applyAlignment="1">
      <alignment horizontal="right" vertical="center"/>
    </xf>
    <xf numFmtId="0" fontId="9" fillId="10" borderId="3" xfId="0" applyFont="1" applyFill="1" applyBorder="1" applyAlignment="1">
      <alignment horizontal="center" vertical="center"/>
    </xf>
    <xf numFmtId="0" fontId="10" fillId="11" borderId="2" xfId="0" applyFont="1" applyFill="1" applyBorder="1" applyAlignment="1">
      <alignment horizontal="center" vertical="center"/>
    </xf>
    <xf numFmtId="0" fontId="8" fillId="7" borderId="2" xfId="0" applyFont="1" applyFill="1" applyBorder="1" applyAlignment="1">
      <alignment horizontal="left" vertical="center"/>
    </xf>
    <xf numFmtId="0" fontId="11" fillId="12" borderId="2" xfId="0" applyFont="1" applyFill="1" applyBorder="1" applyAlignment="1">
      <alignment horizontal="center" vertical="center"/>
    </xf>
    <xf numFmtId="0" fontId="12" fillId="13" borderId="2" xfId="0" applyFont="1" applyFill="1" applyBorder="1" applyAlignment="1">
      <alignment horizontal="center" vertical="center"/>
    </xf>
    <xf numFmtId="0" fontId="13" fillId="8" borderId="2" xfId="0" applyFont="1" applyFill="1" applyBorder="1" applyAlignment="1">
      <alignment horizontal="left" vertical="center"/>
    </xf>
    <xf numFmtId="0" fontId="14" fillId="14" borderId="2" xfId="0" applyFont="1" applyFill="1" applyBorder="1" applyAlignment="1">
      <alignment horizontal="center" vertical="center"/>
    </xf>
    <xf numFmtId="0" fontId="5" fillId="15" borderId="2" xfId="0" applyFont="1" applyFill="1" applyBorder="1" applyAlignment="1">
      <alignment horizontal="center" vertical="center"/>
    </xf>
    <xf numFmtId="0" fontId="8" fillId="14" borderId="2" xfId="0" applyFont="1" applyFill="1" applyBorder="1" applyAlignment="1">
      <alignment horizontal="right" vertical="center"/>
    </xf>
    <xf numFmtId="0" fontId="8" fillId="14" borderId="2" xfId="0" applyFont="1" applyFill="1" applyBorder="1" applyAlignment="1">
      <alignment horizontal="left" vertical="center"/>
    </xf>
    <xf numFmtId="0" fontId="15" fillId="10" borderId="2" xfId="0" applyFont="1" applyFill="1" applyBorder="1" applyAlignment="1">
      <alignment horizontal="center" vertical="center"/>
    </xf>
    <xf numFmtId="0" fontId="5" fillId="16" borderId="2" xfId="0" applyFont="1" applyFill="1" applyBorder="1" applyAlignment="1">
      <alignment horizontal="center" vertical="center"/>
    </xf>
    <xf numFmtId="0" fontId="8" fillId="10" borderId="2" xfId="0" applyFont="1" applyFill="1" applyBorder="1" applyAlignment="1">
      <alignment horizontal="right" vertical="center"/>
    </xf>
    <xf numFmtId="0" fontId="8" fillId="10" borderId="2" xfId="0" applyFont="1" applyFill="1" applyBorder="1" applyAlignment="1">
      <alignment horizontal="left" vertical="center"/>
    </xf>
    <xf numFmtId="0" fontId="16" fillId="17" borderId="2" xfId="0" applyFont="1" applyFill="1" applyBorder="1" applyAlignment="1">
      <alignment horizontal="center" vertical="center"/>
    </xf>
    <xf numFmtId="0" fontId="5" fillId="18" borderId="2" xfId="0" applyFont="1" applyFill="1" applyBorder="1" applyAlignment="1">
      <alignment horizontal="center" vertical="center"/>
    </xf>
    <xf numFmtId="0" fontId="8" fillId="17" borderId="2" xfId="0" applyFont="1" applyFill="1" applyBorder="1" applyAlignment="1">
      <alignment horizontal="right" vertical="center"/>
    </xf>
    <xf numFmtId="0" fontId="8" fillId="17" borderId="2" xfId="0" applyFont="1" applyFill="1" applyBorder="1" applyAlignment="1">
      <alignment horizontal="left" vertical="center"/>
    </xf>
    <xf numFmtId="0" fontId="17" fillId="19" borderId="2" xfId="0" applyFont="1" applyFill="1" applyBorder="1" applyAlignment="1">
      <alignment horizontal="center" vertical="center"/>
    </xf>
    <xf numFmtId="0" fontId="5" fillId="20" borderId="2" xfId="0" applyFont="1" applyFill="1" applyBorder="1" applyAlignment="1">
      <alignment horizontal="center" vertical="center"/>
    </xf>
    <xf numFmtId="0" fontId="8" fillId="19" borderId="2" xfId="0" applyFont="1" applyFill="1" applyBorder="1" applyAlignment="1">
      <alignment horizontal="right" vertical="center"/>
    </xf>
    <xf numFmtId="0" fontId="8" fillId="19" borderId="2" xfId="0" applyFont="1" applyFill="1" applyBorder="1" applyAlignment="1">
      <alignment horizontal="left" vertical="center"/>
    </xf>
    <xf numFmtId="0" fontId="18" fillId="21" borderId="2" xfId="0" applyFont="1" applyFill="1" applyBorder="1" applyAlignment="1">
      <alignment horizontal="center" vertical="center"/>
    </xf>
    <xf numFmtId="0" fontId="5" fillId="22" borderId="2" xfId="0" applyFont="1" applyFill="1" applyBorder="1" applyAlignment="1">
      <alignment horizontal="center" vertical="center"/>
    </xf>
    <xf numFmtId="0" fontId="8" fillId="21" borderId="2" xfId="0" applyFont="1" applyFill="1" applyBorder="1" applyAlignment="1">
      <alignment horizontal="right" vertical="center"/>
    </xf>
    <xf numFmtId="0" fontId="8" fillId="21" borderId="2" xfId="0" applyFont="1" applyFill="1" applyBorder="1" applyAlignment="1">
      <alignment horizontal="left" vertical="center"/>
    </xf>
    <xf numFmtId="0" fontId="19" fillId="23" borderId="2" xfId="0" applyFont="1" applyFill="1" applyBorder="1" applyAlignment="1">
      <alignment horizontal="center" vertical="center"/>
    </xf>
    <xf numFmtId="0" fontId="5" fillId="24" borderId="2" xfId="0" applyFont="1" applyFill="1" applyBorder="1" applyAlignment="1">
      <alignment horizontal="center" vertical="center"/>
    </xf>
    <xf numFmtId="0" fontId="8" fillId="23" borderId="2" xfId="0" applyFont="1" applyFill="1" applyBorder="1" applyAlignment="1">
      <alignment horizontal="right" vertical="center"/>
    </xf>
    <xf numFmtId="0" fontId="8" fillId="23" borderId="2" xfId="0" applyFont="1" applyFill="1" applyBorder="1" applyAlignment="1">
      <alignment horizontal="left" vertical="center"/>
    </xf>
    <xf numFmtId="0" fontId="20" fillId="25" borderId="2" xfId="0" applyFont="1" applyFill="1" applyBorder="1" applyAlignment="1">
      <alignment horizontal="center" vertical="center"/>
    </xf>
    <xf numFmtId="0" fontId="5" fillId="26" borderId="2" xfId="0" applyFont="1" applyFill="1" applyBorder="1" applyAlignment="1">
      <alignment horizontal="center" vertical="center"/>
    </xf>
    <xf numFmtId="0" fontId="8" fillId="25" borderId="2" xfId="0" applyFont="1" applyFill="1" applyBorder="1" applyAlignment="1">
      <alignment horizontal="right" vertical="center"/>
    </xf>
    <xf numFmtId="0" fontId="8" fillId="25" borderId="2" xfId="0" applyFont="1" applyFill="1" applyBorder="1" applyAlignment="1">
      <alignment horizontal="left" vertical="center"/>
    </xf>
    <xf numFmtId="0" fontId="21" fillId="27" borderId="2" xfId="0" applyFont="1" applyFill="1" applyBorder="1" applyAlignment="1">
      <alignment horizontal="center" vertical="center"/>
    </xf>
    <xf numFmtId="0" fontId="5" fillId="28" borderId="2" xfId="0" applyFont="1" applyFill="1" applyBorder="1" applyAlignment="1">
      <alignment horizontal="center" vertical="center"/>
    </xf>
    <xf numFmtId="0" fontId="8" fillId="27" borderId="2" xfId="0" applyFont="1" applyFill="1" applyBorder="1" applyAlignment="1">
      <alignment horizontal="right" vertical="center"/>
    </xf>
    <xf numFmtId="0" fontId="8" fillId="27" borderId="2" xfId="0" applyFont="1" applyFill="1" applyBorder="1" applyAlignment="1">
      <alignment horizontal="left" vertical="center"/>
    </xf>
    <xf numFmtId="0" fontId="22" fillId="29" borderId="2" xfId="0" applyFont="1" applyFill="1" applyBorder="1" applyAlignment="1">
      <alignment horizontal="center" vertical="center"/>
    </xf>
    <xf numFmtId="0" fontId="5" fillId="30" borderId="2" xfId="0" applyFont="1" applyFill="1" applyBorder="1" applyAlignment="1">
      <alignment horizontal="center" vertical="center"/>
    </xf>
    <xf numFmtId="0" fontId="8" fillId="29" borderId="2" xfId="0" applyFont="1" applyFill="1" applyBorder="1" applyAlignment="1">
      <alignment horizontal="right" vertical="center"/>
    </xf>
    <xf numFmtId="0" fontId="8" fillId="29" borderId="2" xfId="0" applyFont="1" applyFill="1" applyBorder="1" applyAlignment="1">
      <alignment horizontal="left" vertical="center"/>
    </xf>
    <xf numFmtId="0" fontId="23" fillId="31" borderId="2" xfId="0" applyFont="1" applyFill="1" applyBorder="1" applyAlignment="1">
      <alignment horizontal="center" vertical="center"/>
    </xf>
    <xf numFmtId="0" fontId="5" fillId="32" borderId="2" xfId="0" applyFont="1" applyFill="1" applyBorder="1" applyAlignment="1">
      <alignment horizontal="center" vertical="center"/>
    </xf>
    <xf numFmtId="0" fontId="8" fillId="31" borderId="2" xfId="0" applyFont="1" applyFill="1" applyBorder="1" applyAlignment="1">
      <alignment horizontal="right" vertical="center"/>
    </xf>
    <xf numFmtId="0" fontId="8" fillId="31" borderId="2" xfId="0" applyFont="1" applyFill="1" applyBorder="1" applyAlignment="1">
      <alignment horizontal="left" vertical="center"/>
    </xf>
    <xf numFmtId="0" fontId="24" fillId="33" borderId="2" xfId="0" applyFont="1" applyFill="1" applyBorder="1" applyAlignment="1">
      <alignment horizontal="center" vertical="center"/>
    </xf>
    <xf numFmtId="0" fontId="5" fillId="34" borderId="2" xfId="0" applyFont="1" applyFill="1" applyBorder="1" applyAlignment="1">
      <alignment horizontal="center" vertical="center"/>
    </xf>
    <xf numFmtId="0" fontId="8" fillId="33" borderId="2" xfId="0" applyFont="1" applyFill="1" applyBorder="1" applyAlignment="1">
      <alignment horizontal="right" vertical="center"/>
    </xf>
    <xf numFmtId="0" fontId="8" fillId="33" borderId="2" xfId="0" applyFont="1" applyFill="1" applyBorder="1" applyAlignment="1">
      <alignment horizontal="left" vertical="center"/>
    </xf>
    <xf numFmtId="0" fontId="5" fillId="37" borderId="2" xfId="0" applyFont="1" applyFill="1" applyBorder="1" applyAlignment="1">
      <alignment horizontal="center" vertical="center"/>
    </xf>
    <xf numFmtId="20" fontId="7" fillId="8" borderId="2" xfId="0" applyNumberFormat="1" applyFont="1" applyFill="1" applyBorder="1" applyAlignment="1">
      <alignment horizontal="center" vertical="center"/>
    </xf>
    <xf numFmtId="0" fontId="29" fillId="7" borderId="2" xfId="0" applyFont="1" applyFill="1" applyBorder="1" applyAlignment="1">
      <alignment horizontal="right" vertical="center"/>
    </xf>
    <xf numFmtId="0" fontId="29" fillId="7" borderId="2" xfId="0" applyFont="1" applyFill="1" applyBorder="1" applyAlignment="1">
      <alignment horizontal="left" vertical="center"/>
    </xf>
    <xf numFmtId="0" fontId="31" fillId="8" borderId="2" xfId="0" applyFont="1" applyFill="1" applyBorder="1" applyAlignment="1">
      <alignment horizontal="left" vertical="center"/>
    </xf>
    <xf numFmtId="0" fontId="29" fillId="14" borderId="2" xfId="0" applyFont="1" applyFill="1" applyBorder="1" applyAlignment="1">
      <alignment horizontal="right" vertical="center"/>
    </xf>
    <xf numFmtId="0" fontId="29" fillId="14" borderId="2" xfId="0" applyFont="1" applyFill="1" applyBorder="1" applyAlignment="1">
      <alignment horizontal="left" vertical="center"/>
    </xf>
    <xf numFmtId="0" fontId="29" fillId="10" borderId="2" xfId="0" applyFont="1" applyFill="1" applyBorder="1" applyAlignment="1">
      <alignment horizontal="right" vertical="center"/>
    </xf>
    <xf numFmtId="0" fontId="29" fillId="10" borderId="2" xfId="0" applyFont="1" applyFill="1" applyBorder="1" applyAlignment="1">
      <alignment horizontal="left" vertical="center"/>
    </xf>
    <xf numFmtId="0" fontId="29" fillId="17" borderId="2" xfId="0" applyFont="1" applyFill="1" applyBorder="1" applyAlignment="1">
      <alignment horizontal="right" vertical="center"/>
    </xf>
    <xf numFmtId="0" fontId="29" fillId="17" borderId="2" xfId="0" applyFont="1" applyFill="1" applyBorder="1" applyAlignment="1">
      <alignment horizontal="left" vertical="center"/>
    </xf>
    <xf numFmtId="0" fontId="29" fillId="19" borderId="2" xfId="0" applyFont="1" applyFill="1" applyBorder="1" applyAlignment="1">
      <alignment horizontal="right" vertical="center"/>
    </xf>
    <xf numFmtId="0" fontId="29" fillId="19" borderId="2" xfId="0" applyFont="1" applyFill="1" applyBorder="1" applyAlignment="1">
      <alignment horizontal="left" vertical="center"/>
    </xf>
    <xf numFmtId="0" fontId="29" fillId="21" borderId="2" xfId="0" applyFont="1" applyFill="1" applyBorder="1" applyAlignment="1">
      <alignment horizontal="right" vertical="center"/>
    </xf>
    <xf numFmtId="0" fontId="29" fillId="21" borderId="2" xfId="0" applyFont="1" applyFill="1" applyBorder="1" applyAlignment="1">
      <alignment horizontal="left" vertical="center"/>
    </xf>
    <xf numFmtId="0" fontId="29" fillId="23" borderId="2" xfId="0" applyFont="1" applyFill="1" applyBorder="1" applyAlignment="1">
      <alignment horizontal="right" vertical="center"/>
    </xf>
    <xf numFmtId="0" fontId="29" fillId="23" borderId="2" xfId="0" applyFont="1" applyFill="1" applyBorder="1" applyAlignment="1">
      <alignment horizontal="left" vertical="center"/>
    </xf>
    <xf numFmtId="0" fontId="29" fillId="25" borderId="2" xfId="0" applyFont="1" applyFill="1" applyBorder="1" applyAlignment="1">
      <alignment horizontal="right" vertical="center"/>
    </xf>
    <xf numFmtId="0" fontId="29" fillId="25" borderId="2" xfId="0" applyFont="1" applyFill="1" applyBorder="1" applyAlignment="1">
      <alignment horizontal="left" vertical="center"/>
    </xf>
    <xf numFmtId="0" fontId="29" fillId="27" borderId="2" xfId="0" applyFont="1" applyFill="1" applyBorder="1" applyAlignment="1">
      <alignment horizontal="right" vertical="center"/>
    </xf>
    <xf numFmtId="0" fontId="29" fillId="27" borderId="2" xfId="0" applyFont="1" applyFill="1" applyBorder="1" applyAlignment="1">
      <alignment horizontal="left" vertical="center"/>
    </xf>
    <xf numFmtId="0" fontId="29" fillId="29" borderId="2" xfId="0" applyFont="1" applyFill="1" applyBorder="1" applyAlignment="1">
      <alignment horizontal="right" vertical="center"/>
    </xf>
    <xf numFmtId="0" fontId="29" fillId="29" borderId="2" xfId="0" applyFont="1" applyFill="1" applyBorder="1" applyAlignment="1">
      <alignment horizontal="left" vertical="center"/>
    </xf>
    <xf numFmtId="0" fontId="29" fillId="31" borderId="2" xfId="0" applyFont="1" applyFill="1" applyBorder="1" applyAlignment="1">
      <alignment horizontal="right" vertical="center"/>
    </xf>
    <xf numFmtId="0" fontId="29" fillId="31" borderId="2" xfId="0" applyFont="1" applyFill="1" applyBorder="1" applyAlignment="1">
      <alignment horizontal="left" vertical="center"/>
    </xf>
    <xf numFmtId="0" fontId="29" fillId="33" borderId="2" xfId="0" applyFont="1" applyFill="1" applyBorder="1" applyAlignment="1">
      <alignment horizontal="right" vertical="center"/>
    </xf>
    <xf numFmtId="0" fontId="29" fillId="33" borderId="2" xfId="0" applyFont="1" applyFill="1" applyBorder="1" applyAlignment="1">
      <alignment horizontal="left" vertical="center"/>
    </xf>
    <xf numFmtId="0" fontId="0" fillId="0" borderId="0" xfId="0" applyProtection="1">
      <protection locked="0"/>
    </xf>
    <xf numFmtId="0" fontId="30" fillId="36" borderId="6" xfId="0" applyFont="1" applyFill="1" applyBorder="1" applyAlignment="1" applyProtection="1">
      <alignment horizontal="center" vertical="center"/>
      <protection locked="0"/>
    </xf>
    <xf numFmtId="0" fontId="32" fillId="36" borderId="6" xfId="0" applyFont="1" applyFill="1" applyBorder="1" applyAlignment="1" applyProtection="1">
      <alignment horizontal="center" vertical="center"/>
      <protection locked="0"/>
    </xf>
    <xf numFmtId="0" fontId="33" fillId="36" borderId="6" xfId="0" applyFont="1" applyFill="1" applyBorder="1" applyAlignment="1" applyProtection="1">
      <alignment horizontal="center" vertical="center"/>
      <protection locked="0"/>
    </xf>
    <xf numFmtId="0" fontId="34" fillId="36" borderId="6" xfId="0" applyFont="1" applyFill="1" applyBorder="1" applyAlignment="1" applyProtection="1">
      <alignment horizontal="center" vertical="center"/>
      <protection locked="0"/>
    </xf>
    <xf numFmtId="0" fontId="35" fillId="36" borderId="6" xfId="0" applyFont="1" applyFill="1" applyBorder="1" applyAlignment="1" applyProtection="1">
      <alignment horizontal="center" vertical="center"/>
      <protection locked="0"/>
    </xf>
    <xf numFmtId="0" fontId="36" fillId="36" borderId="6" xfId="0" applyFont="1" applyFill="1" applyBorder="1" applyAlignment="1" applyProtection="1">
      <alignment horizontal="center" vertical="center"/>
      <protection locked="0"/>
    </xf>
    <xf numFmtId="0" fontId="37" fillId="36" borderId="6" xfId="0" applyFont="1" applyFill="1" applyBorder="1" applyAlignment="1" applyProtection="1">
      <alignment horizontal="center" vertical="center"/>
      <protection locked="0"/>
    </xf>
    <xf numFmtId="0" fontId="38" fillId="36" borderId="6" xfId="0" applyFont="1" applyFill="1" applyBorder="1" applyAlignment="1" applyProtection="1">
      <alignment horizontal="center" vertical="center"/>
      <protection locked="0"/>
    </xf>
    <xf numFmtId="0" fontId="39" fillId="36" borderId="6" xfId="0" applyFont="1" applyFill="1" applyBorder="1" applyAlignment="1" applyProtection="1">
      <alignment horizontal="center" vertical="center"/>
      <protection locked="0"/>
    </xf>
    <xf numFmtId="0" fontId="40" fillId="36" borderId="6" xfId="0" applyFont="1" applyFill="1" applyBorder="1" applyAlignment="1" applyProtection="1">
      <alignment horizontal="center" vertical="center"/>
      <protection locked="0"/>
    </xf>
    <xf numFmtId="0" fontId="41" fillId="36" borderId="6" xfId="0" applyFont="1" applyFill="1" applyBorder="1" applyAlignment="1" applyProtection="1">
      <alignment horizontal="center" vertical="center"/>
      <protection locked="0"/>
    </xf>
    <xf numFmtId="0" fontId="42" fillId="36" borderId="6" xfId="0" applyFont="1" applyFill="1" applyBorder="1" applyAlignment="1" applyProtection="1">
      <alignment horizontal="center" vertical="center"/>
      <protection locked="0"/>
    </xf>
    <xf numFmtId="0" fontId="43" fillId="0" borderId="0" xfId="0" applyFont="1" applyAlignment="1">
      <alignment horizontal="center"/>
    </xf>
    <xf numFmtId="0" fontId="5" fillId="6" borderId="0" xfId="0" applyFont="1" applyFill="1" applyAlignment="1">
      <alignment horizontal="left" vertical="center"/>
    </xf>
    <xf numFmtId="0" fontId="0" fillId="0" borderId="0" xfId="0"/>
    <xf numFmtId="0" fontId="2" fillId="3" borderId="0" xfId="0" applyFont="1" applyFill="1" applyAlignment="1">
      <alignment horizontal="center" vertical="center"/>
    </xf>
    <xf numFmtId="0" fontId="3" fillId="4" borderId="0" xfId="0" applyFont="1" applyFill="1" applyAlignment="1">
      <alignment horizontal="left" vertical="center"/>
    </xf>
    <xf numFmtId="0" fontId="26" fillId="36" borderId="5" xfId="0" applyFont="1" applyFill="1" applyBorder="1" applyAlignment="1">
      <alignment horizontal="left" vertical="center"/>
    </xf>
    <xf numFmtId="0" fontId="0" fillId="0" borderId="8" xfId="0" applyBorder="1"/>
    <xf numFmtId="0" fontId="5" fillId="38" borderId="0" xfId="0" applyFont="1" applyFill="1" applyAlignment="1">
      <alignment horizontal="left" vertical="center"/>
    </xf>
    <xf numFmtId="0" fontId="25" fillId="35" borderId="0" xfId="0" applyFont="1" applyFill="1" applyAlignment="1">
      <alignment horizontal="center" vertical="center"/>
    </xf>
    <xf numFmtId="0" fontId="27" fillId="37" borderId="0" xfId="0" applyFont="1" applyFill="1" applyAlignment="1">
      <alignment horizontal="center" vertical="center"/>
    </xf>
    <xf numFmtId="0" fontId="11" fillId="12" borderId="4" xfId="0" applyFont="1" applyFill="1" applyBorder="1" applyAlignment="1">
      <alignment horizontal="right" vertical="center"/>
    </xf>
    <xf numFmtId="0" fontId="0" fillId="0" borderId="7" xfId="0" applyBorder="1"/>
    <xf numFmtId="0" fontId="5" fillId="35" borderId="0" xfId="0" applyFont="1" applyFill="1" applyAlignment="1">
      <alignment horizontal="center" vertical="center"/>
    </xf>
    <xf numFmtId="0" fontId="28" fillId="11" borderId="0" xfId="0" applyFont="1" applyFill="1" applyAlignment="1">
      <alignment horizontal="left" vertical="center"/>
    </xf>
  </cellXfs>
  <cellStyles count="1">
    <cellStyle name="Normal" xfId="0" builtinId="0"/>
  </cellStyles>
  <dxfs count="40">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
      <fill>
        <patternFill patternType="solid">
          <fgColor rgb="FFD3D3D3"/>
          <bgColor rgb="FFD3D3D3"/>
        </patternFill>
      </fill>
    </dxf>
  </dxfs>
  <tableStyles count="0" defaultTableStyle="TableStyleMedium2" defaultPivotStyle="PivotStyleLight16"/>
  <colors>
    <indexedColors>
      <rgbColor rgb="FF000000"/>
      <rgbColor rgb="FFFFFFFF"/>
      <rgbColor rgb="FFC0392B"/>
      <rgbColor rgb="FF00FF00"/>
      <rgbColor rgb="FF0E6655"/>
      <rgbColor rgb="FFFFFDE7"/>
      <rgbColor rgb="FFFF00FF"/>
      <rgbColor rgb="FFF5F5F5"/>
      <rgbColor rgb="FF800000"/>
      <rgbColor rgb="FF006600"/>
      <rgbColor rgb="FF2C3E50"/>
      <rgbColor rgb="FFB7950B"/>
      <rgbColor rgb="FF555555"/>
      <rgbColor rgb="FF117A65"/>
      <rgbColor rgb="FFCCCCCC"/>
      <rgbColor rgb="FF888888"/>
      <rgbColor rgb="FF777777"/>
      <rgbColor rgb="FF922B21"/>
      <rgbColor rgb="FFFEFBDB"/>
      <rgbColor rgb="FFE0F7FA"/>
      <rgbColor rgb="FF5D4037"/>
      <rgbColor rgb="FFF0F0F0"/>
      <rgbColor rgb="FF1565C0"/>
      <rgbColor rgb="FFF3E5F5"/>
      <rgbColor rgb="FF1A5276"/>
      <rgbColor rgb="FFFF00FF"/>
      <rgbColor rgb="FFFBE9E7"/>
      <rgbColor rgb="FFF9F9F9"/>
      <rgbColor rgb="FF800080"/>
      <rgbColor rgb="FF800000"/>
      <rgbColor rgb="FF1E8449"/>
      <rgbColor rgb="FF0000FF"/>
      <rgbColor rgb="FFFAFAFA"/>
      <rgbColor rgb="FFE0F4F1"/>
      <rgbColor rgb="FFE8F5E9"/>
      <rgbColor rgb="FFFEF3E0"/>
      <rgbColor rgb="FFE3F2FD"/>
      <rgbColor rgb="FFFDE8E8"/>
      <rgbColor rgb="FFEFEBE9"/>
      <rgbColor rgb="FFFCE4EC"/>
      <rgbColor rgb="FF4F81BD"/>
      <rgbColor rgb="FF196F3D"/>
      <rgbColor rgb="FFEAF6EA"/>
      <rgbColor rgb="FFFFC107"/>
      <rgbColor rgb="FFEAF0FB"/>
      <rgbColor rgb="FFD35400"/>
      <rgbColor rgb="FF666666"/>
      <rgbColor rgb="FF999999"/>
      <rgbColor rgb="FF003366"/>
      <rgbColor rgb="FF27AE60"/>
      <rgbColor rgb="FF1A1A1A"/>
      <rgbColor rgb="FF1B2631"/>
      <rgbColor rgb="FFA04000"/>
      <rgbColor rgb="FF76448A"/>
      <rgbColor rgb="FF34495E"/>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manualLayout>
          <c:layoutTarget val="inner"/>
          <c:xMode val="edge"/>
          <c:yMode val="edge"/>
          <c:x val="6.0578158431263622E-2"/>
          <c:y val="0.18029113316762818"/>
          <c:w val="0.93942184156873643"/>
          <c:h val="0.73851969536612239"/>
        </c:manualLayout>
      </c:layout>
      <c:barChart>
        <c:barDir val="col"/>
        <c:grouping val="clustered"/>
        <c:varyColors val="0"/>
        <c:ser>
          <c:idx val="0"/>
          <c:order val="0"/>
          <c:tx>
            <c:strRef>
              <c:f>TABLA_GENERAL!$D$1</c:f>
              <c:strCache>
                <c:ptCount val="1"/>
                <c:pt idx="0">
                  <c:v>Puntos Totales</c:v>
                </c:pt>
              </c:strCache>
            </c:strRef>
          </c:tx>
          <c:spPr>
            <a:gradFill>
              <a:gsLst>
                <a:gs pos="0">
                  <a:schemeClr val="accent4">
                    <a:lumMod val="102000"/>
                    <a:tint val="94000"/>
                  </a:schemeClr>
                </a:gs>
                <a:gs pos="50000">
                  <a:schemeClr val="accent4">
                    <a:lumMod val="100000"/>
                    <a:shade val="100000"/>
                  </a:schemeClr>
                </a:gs>
                <a:gs pos="100000">
                  <a:schemeClr val="accent4">
                    <a:lumMod val="99000"/>
                    <a:shade val="78000"/>
                  </a:schemeClr>
                </a:gs>
              </a:gsLst>
              <a:lin ang="5400000" scaled="0"/>
              <a:tileRect/>
            </a:gradFill>
            <a:ln>
              <a:noFill/>
            </a:ln>
            <a:effectLst/>
          </c:spPr>
          <c:invertIfNegative val="0"/>
          <c:dLbls>
            <c:dLbl>
              <c:idx val="0"/>
              <c:layout>
                <c:manualLayout>
                  <c:x val="2.3099855068875227E-2"/>
                  <c:y val="-7.7092190751798129E-2"/>
                </c:manualLayout>
              </c:layout>
              <c:tx>
                <c:rich>
                  <a:bodyPr/>
                  <a:lstStyle/>
                  <a:p>
                    <a:fld id="{0F7C45C4-7A7D-4ED9-B886-A31E614750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manualLayout>
                      <c:w val="0.11227781945627587"/>
                      <c:h val="5.8733316734237505E-2"/>
                    </c:manualLayout>
                  </c15:layout>
                  <c15:dlblFieldTable/>
                  <c15:showDataLabelsRange val="1"/>
                </c:ext>
                <c:ext xmlns:c16="http://schemas.microsoft.com/office/drawing/2014/chart" uri="{C3380CC4-5D6E-409C-BE32-E72D297353CC}">
                  <c16:uniqueId val="{00000000-6F06-4EF1-8977-76F3495A5FF0}"/>
                </c:ext>
              </c:extLst>
            </c:dLbl>
            <c:dLbl>
              <c:idx val="1"/>
              <c:tx>
                <c:rich>
                  <a:bodyPr/>
                  <a:lstStyle/>
                  <a:p>
                    <a:fld id="{0E506C99-6F87-4E47-9BB3-9DF8E88A7A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F06-4EF1-8977-76F3495A5FF0}"/>
                </c:ext>
              </c:extLst>
            </c:dLbl>
            <c:dLbl>
              <c:idx val="2"/>
              <c:layout>
                <c:manualLayout>
                  <c:x val="4.7813225497278539E-2"/>
                  <c:y val="-8.9494181703724928E-3"/>
                </c:manualLayout>
              </c:layout>
              <c:tx>
                <c:rich>
                  <a:bodyPr/>
                  <a:lstStyle/>
                  <a:p>
                    <a:fld id="{38B989BA-521D-4F22-A607-0D1B8C6CE2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F06-4EF1-8977-76F3495A5FF0}"/>
                </c:ext>
              </c:extLst>
            </c:dLbl>
            <c:dLbl>
              <c:idx val="3"/>
              <c:layout>
                <c:manualLayout>
                  <c:x val="2.3632256326531046E-2"/>
                  <c:y val="0"/>
                </c:manualLayout>
              </c:layout>
              <c:tx>
                <c:rich>
                  <a:bodyPr/>
                  <a:lstStyle/>
                  <a:p>
                    <a:fld id="{C5A33C97-055C-4D02-AA40-F30D6B9989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F06-4EF1-8977-76F3495A5FF0}"/>
                </c:ext>
              </c:extLst>
            </c:dLbl>
            <c:dLbl>
              <c:idx val="4"/>
              <c:layout>
                <c:manualLayout>
                  <c:x val="2.5450122197802634E-2"/>
                  <c:y val="-2.7901329377512309E-2"/>
                </c:manualLayout>
              </c:layout>
              <c:tx>
                <c:rich>
                  <a:bodyPr/>
                  <a:lstStyle/>
                  <a:p>
                    <a:fld id="{BFCAC9B6-E3FA-46A3-8E5F-73044D0C7D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F06-4EF1-8977-76F3495A5FF0}"/>
                </c:ext>
              </c:extLst>
            </c:dLbl>
            <c:dLbl>
              <c:idx val="5"/>
              <c:layout>
                <c:manualLayout>
                  <c:x val="1.4621224027778136E-2"/>
                  <c:y val="-4.4798599026163052E-2"/>
                </c:manualLayout>
              </c:layout>
              <c:tx>
                <c:rich>
                  <a:bodyPr/>
                  <a:lstStyle/>
                  <a:p>
                    <a:fld id="{71A2D82E-9EA8-4D86-B578-E842CE6604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F06-4EF1-8977-76F3495A5FF0}"/>
                </c:ext>
              </c:extLst>
            </c:dLbl>
            <c:dLbl>
              <c:idx val="6"/>
              <c:layout>
                <c:manualLayout>
                  <c:x val="3.6947408138370795E-2"/>
                  <c:y val="-7.9410771768346225E-2"/>
                </c:manualLayout>
              </c:layout>
              <c:tx>
                <c:rich>
                  <a:bodyPr/>
                  <a:lstStyle/>
                  <a:p>
                    <a:fld id="{EFD0BC69-56B2-47EA-9D24-BAFD3BA00D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manualLayout>
                      <c:w val="7.245297667663772E-2"/>
                      <c:h val="5.4513778447821945E-2"/>
                    </c:manualLayout>
                  </c15:layout>
                  <c15:dlblFieldTable/>
                  <c15:showDataLabelsRange val="1"/>
                </c:ext>
                <c:ext xmlns:c16="http://schemas.microsoft.com/office/drawing/2014/chart" uri="{C3380CC4-5D6E-409C-BE32-E72D297353CC}">
                  <c16:uniqueId val="{00000006-6F06-4EF1-8977-76F3495A5FF0}"/>
                </c:ext>
              </c:extLst>
            </c:dLbl>
            <c:dLbl>
              <c:idx val="7"/>
              <c:layout>
                <c:manualLayout>
                  <c:x val="4.0337361246479325E-2"/>
                  <c:y val="-4.3993220087874527E-2"/>
                </c:manualLayout>
              </c:layout>
              <c:tx>
                <c:rich>
                  <a:bodyPr/>
                  <a:lstStyle/>
                  <a:p>
                    <a:fld id="{6601DE92-0E2C-4E89-BE86-5C07686146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F06-4EF1-8977-76F3495A5FF0}"/>
                </c:ext>
              </c:extLst>
            </c:dLbl>
            <c:dLbl>
              <c:idx val="8"/>
              <c:layout>
                <c:manualLayout>
                  <c:x val="2.6470028201447931E-2"/>
                  <c:y val="0"/>
                </c:manualLayout>
              </c:layout>
              <c:tx>
                <c:rich>
                  <a:bodyPr/>
                  <a:lstStyle/>
                  <a:p>
                    <a:fld id="{DD267DFF-CD5D-4F8F-B855-8E74D7F2B4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F06-4EF1-8977-76F3495A5FF0}"/>
                </c:ext>
              </c:extLst>
            </c:dLbl>
            <c:dLbl>
              <c:idx val="9"/>
              <c:tx>
                <c:rich>
                  <a:bodyPr/>
                  <a:lstStyle/>
                  <a:p>
                    <a:fld id="{E7092024-402A-4ADB-86D8-6341A3905B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F06-4EF1-8977-76F3495A5FF0}"/>
                </c:ext>
              </c:extLst>
            </c:dLbl>
            <c:dLbl>
              <c:idx val="10"/>
              <c:layout>
                <c:manualLayout>
                  <c:x val="3.21421771017582E-2"/>
                  <c:y val="0"/>
                </c:manualLayout>
              </c:layout>
              <c:tx>
                <c:rich>
                  <a:bodyPr/>
                  <a:lstStyle/>
                  <a:p>
                    <a:fld id="{4C31B758-3FEB-40EE-8507-B49001F116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F06-4EF1-8977-76F3495A5FF0}"/>
                </c:ext>
              </c:extLst>
            </c:dLbl>
            <c:dLbl>
              <c:idx val="11"/>
              <c:layout>
                <c:manualLayout>
                  <c:x val="1.8907163001034236E-2"/>
                  <c:y val="9.7560950627756746E-3"/>
                </c:manualLayout>
              </c:layout>
              <c:tx>
                <c:rich>
                  <a:bodyPr/>
                  <a:lstStyle/>
                  <a:p>
                    <a:fld id="{29D4E42D-B4E4-45FE-B4FD-13706B02D3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F06-4EF1-8977-76F3495A5FF0}"/>
                </c:ext>
              </c:extLst>
            </c:dLbl>
            <c:dLbl>
              <c:idx val="12"/>
              <c:layout>
                <c:manualLayout>
                  <c:x val="2.6470028201447931E-2"/>
                  <c:y val="0"/>
                </c:manualLayout>
              </c:layout>
              <c:tx>
                <c:rich>
                  <a:bodyPr/>
                  <a:lstStyle/>
                  <a:p>
                    <a:fld id="{DDB07EE5-F78D-40BE-8ADA-ED1B083F4E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6F06-4EF1-8977-76F3495A5FF0}"/>
                </c:ext>
              </c:extLst>
            </c:dLbl>
            <c:dLbl>
              <c:idx val="13"/>
              <c:tx>
                <c:rich>
                  <a:bodyPr/>
                  <a:lstStyle/>
                  <a:p>
                    <a:fld id="{18DAFAA7-2048-4836-90F4-1812CB3259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F06-4EF1-8977-76F3495A5FF0}"/>
                </c:ext>
              </c:extLst>
            </c:dLbl>
            <c:dLbl>
              <c:idx val="14"/>
              <c:tx>
                <c:rich>
                  <a:bodyPr/>
                  <a:lstStyle/>
                  <a:p>
                    <a:fld id="{FE10F353-C133-44B4-9E3E-6A34DCB42C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F06-4EF1-8977-76F3495A5FF0}"/>
                </c:ext>
              </c:extLst>
            </c:dLbl>
            <c:dLbl>
              <c:idx val="15"/>
              <c:tx>
                <c:rich>
                  <a:bodyPr/>
                  <a:lstStyle/>
                  <a:p>
                    <a:fld id="{FCF54F8E-4A5D-4415-B636-9B1E75B6BF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F06-4EF1-8977-76F3495A5FF0}"/>
                </c:ext>
              </c:extLst>
            </c:dLbl>
            <c:dLbl>
              <c:idx val="16"/>
              <c:tx>
                <c:rich>
                  <a:bodyPr/>
                  <a:lstStyle/>
                  <a:p>
                    <a:fld id="{822FAC07-7611-4ECE-852A-F1A378AE96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F06-4EF1-8977-76F3495A5FF0}"/>
                </c:ext>
              </c:extLst>
            </c:dLbl>
            <c:spPr>
              <a:gradFill>
                <a:gsLst>
                  <a:gs pos="74000">
                    <a:srgbClr val="4F81BD">
                      <a:lumMod val="45000"/>
                      <a:lumOff val="55000"/>
                    </a:srgbClr>
                  </a:gs>
                  <a:gs pos="83000">
                    <a:srgbClr val="4F81BD">
                      <a:lumMod val="45000"/>
                      <a:lumOff val="55000"/>
                    </a:srgbClr>
                  </a:gs>
                  <a:gs pos="100000">
                    <a:srgbClr val="4F81BD">
                      <a:lumMod val="30000"/>
                      <a:lumOff val="70000"/>
                    </a:srgbClr>
                  </a:gs>
                </a:gsLst>
                <a:lin ang="5400000" scaled="1"/>
              </a:gradFill>
              <a:ln>
                <a:noFill/>
              </a:ln>
              <a:effectLst/>
            </c:spPr>
            <c:txPr>
              <a:bodyPr rot="-294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A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cat>
            <c:multiLvlStrRef>
              <c:f>TABLA_GENERAL!$A$2:$C$18</c:f>
              <c:multiLvlStrCache>
                <c:ptCount val="17"/>
                <c:lvl>
                  <c:pt idx="0">
                    <c:v>The Boss</c:v>
                  </c:pt>
                  <c:pt idx="1">
                    <c:v>Gustavo</c:v>
                  </c:pt>
                  <c:pt idx="2">
                    <c:v>SABRINA (LA MAS MEJOR)</c:v>
                  </c:pt>
                  <c:pt idx="3">
                    <c:v>fraud advisor Jani</c:v>
                  </c:pt>
                  <c:pt idx="4">
                    <c:v>Marie</c:v>
                  </c:pt>
                  <c:pt idx="5">
                    <c:v>Marquinhos</c:v>
                  </c:pt>
                  <c:pt idx="6">
                    <c:v>RAULO</c:v>
                  </c:pt>
                  <c:pt idx="7">
                    <c:v>La Emperatriz</c:v>
                  </c:pt>
                  <c:pt idx="8">
                    <c:v>Alejandra</c:v>
                  </c:pt>
                  <c:pt idx="9">
                    <c:v>Julieta</c:v>
                  </c:pt>
                  <c:pt idx="10">
                    <c:v>Vanesa</c:v>
                  </c:pt>
                  <c:pt idx="11">
                    <c:v>Matias</c:v>
                  </c:pt>
                  <c:pt idx="12">
                    <c:v>Yesica</c:v>
                  </c:pt>
                  <c:pt idx="13">
                    <c:v>Ruben</c:v>
                  </c:pt>
                  <c:pt idx="14">
                    <c:v>Claudia</c:v>
                  </c:pt>
                  <c:pt idx="15">
                    <c:v>Fernando</c:v>
                  </c:pt>
                  <c:pt idx="16">
                    <c:v>Samanta</c:v>
                  </c:pt>
                </c:lvl>
                <c:lvl>
                  <c:pt idx="0">
                    <c:v>Martin</c:v>
                  </c:pt>
                  <c:pt idx="1">
                    <c:v>Gustavo</c:v>
                  </c:pt>
                  <c:pt idx="2">
                    <c:v>Sabrina</c:v>
                  </c:pt>
                  <c:pt idx="3">
                    <c:v>Janina</c:v>
                  </c:pt>
                  <c:pt idx="4">
                    <c:v>Mariela</c:v>
                  </c:pt>
                  <c:pt idx="5">
                    <c:v>Marcos</c:v>
                  </c:pt>
                  <c:pt idx="6">
                    <c:v>Raul</c:v>
                  </c:pt>
                  <c:pt idx="7">
                    <c:v>Paula</c:v>
                  </c:pt>
                  <c:pt idx="8">
                    <c:v>Alejandra</c:v>
                  </c:pt>
                  <c:pt idx="9">
                    <c:v>Julieta</c:v>
                  </c:pt>
                  <c:pt idx="10">
                    <c:v>Vanesa</c:v>
                  </c:pt>
                  <c:pt idx="11">
                    <c:v>Matias</c:v>
                  </c:pt>
                  <c:pt idx="12">
                    <c:v>Yesica</c:v>
                  </c:pt>
                  <c:pt idx="13">
                    <c:v>Ruben</c:v>
                  </c:pt>
                  <c:pt idx="14">
                    <c:v>Claudia</c:v>
                  </c:pt>
                  <c:pt idx="15">
                    <c:v>Fernando</c:v>
                  </c:pt>
                  <c:pt idx="16">
                    <c:v>Samanta</c:v>
                  </c:pt>
                </c:lvl>
                <c:lvl>
                  <c:pt idx="0">
                    <c:v>1</c:v>
                  </c:pt>
                  <c:pt idx="1">
                    <c:v>1</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16</c:v>
                  </c:pt>
                </c:lvl>
              </c:multiLvlStrCache>
            </c:multiLvlStrRef>
          </c:cat>
          <c:val>
            <c:numRef>
              <c:f>TABLA_GENERAL!$D$2:$D$18</c:f>
              <c:numCache>
                <c:formatCode>General</c:formatCode>
                <c:ptCount val="17"/>
                <c:pt idx="0">
                  <c:v>43</c:v>
                </c:pt>
                <c:pt idx="1">
                  <c:v>43</c:v>
                </c:pt>
                <c:pt idx="2">
                  <c:v>43</c:v>
                </c:pt>
                <c:pt idx="3">
                  <c:v>40</c:v>
                </c:pt>
                <c:pt idx="4">
                  <c:v>39</c:v>
                </c:pt>
                <c:pt idx="5">
                  <c:v>37</c:v>
                </c:pt>
                <c:pt idx="6">
                  <c:v>37</c:v>
                </c:pt>
                <c:pt idx="7">
                  <c:v>34</c:v>
                </c:pt>
                <c:pt idx="8">
                  <c:v>33</c:v>
                </c:pt>
                <c:pt idx="9">
                  <c:v>32</c:v>
                </c:pt>
                <c:pt idx="10">
                  <c:v>32</c:v>
                </c:pt>
                <c:pt idx="11">
                  <c:v>31</c:v>
                </c:pt>
                <c:pt idx="12">
                  <c:v>30</c:v>
                </c:pt>
                <c:pt idx="13">
                  <c:v>29</c:v>
                </c:pt>
                <c:pt idx="14">
                  <c:v>17</c:v>
                </c:pt>
                <c:pt idx="15">
                  <c:v>0</c:v>
                </c:pt>
                <c:pt idx="16">
                  <c:v>0</c:v>
                </c:pt>
              </c:numCache>
            </c:numRef>
          </c:val>
          <c:extLst>
            <c:ext xmlns:c15="http://schemas.microsoft.com/office/drawing/2012/chart" uri="{02D57815-91ED-43cb-92C2-25804820EDAC}">
              <c15:datalabelsRange>
                <c15:f>TABLA_GENERAL!$C$2:$C$18</c15:f>
                <c15:dlblRangeCache>
                  <c:ptCount val="17"/>
                  <c:pt idx="0">
                    <c:v>The Boss</c:v>
                  </c:pt>
                  <c:pt idx="1">
                    <c:v>Gustavo</c:v>
                  </c:pt>
                  <c:pt idx="2">
                    <c:v>SABRINA (LA MAS MEJOR)</c:v>
                  </c:pt>
                  <c:pt idx="3">
                    <c:v>fraud advisor Jani</c:v>
                  </c:pt>
                  <c:pt idx="4">
                    <c:v>Marie</c:v>
                  </c:pt>
                  <c:pt idx="5">
                    <c:v>Marquinhos</c:v>
                  </c:pt>
                  <c:pt idx="6">
                    <c:v>RAULO</c:v>
                  </c:pt>
                  <c:pt idx="7">
                    <c:v>La Emperatriz</c:v>
                  </c:pt>
                  <c:pt idx="8">
                    <c:v>Alejandra</c:v>
                  </c:pt>
                  <c:pt idx="9">
                    <c:v>Julieta</c:v>
                  </c:pt>
                  <c:pt idx="10">
                    <c:v>Vanesa</c:v>
                  </c:pt>
                  <c:pt idx="11">
                    <c:v>Matias</c:v>
                  </c:pt>
                  <c:pt idx="12">
                    <c:v>Yesica</c:v>
                  </c:pt>
                  <c:pt idx="13">
                    <c:v>Ruben</c:v>
                  </c:pt>
                  <c:pt idx="14">
                    <c:v>Claudia</c:v>
                  </c:pt>
                  <c:pt idx="15">
                    <c:v>Fernando</c:v>
                  </c:pt>
                  <c:pt idx="16">
                    <c:v>Samanta</c:v>
                  </c:pt>
                </c15:dlblRangeCache>
              </c15:datalabelsRange>
            </c:ext>
            <c:ext xmlns:c16="http://schemas.microsoft.com/office/drawing/2014/chart" uri="{C3380CC4-5D6E-409C-BE32-E72D297353CC}">
              <c16:uniqueId val="{00000011-6F06-4EF1-8977-76F3495A5FF0}"/>
            </c:ext>
          </c:extLst>
        </c:ser>
        <c:dLbls>
          <c:dLblPos val="outEnd"/>
          <c:showLegendKey val="0"/>
          <c:showVal val="1"/>
          <c:showCatName val="0"/>
          <c:showSerName val="0"/>
          <c:showPercent val="0"/>
          <c:showBubbleSize val="0"/>
        </c:dLbls>
        <c:gapWidth val="100"/>
        <c:overlap val="-24"/>
        <c:axId val="1512748736"/>
        <c:axId val="1512749216"/>
      </c:barChart>
      <c:catAx>
        <c:axId val="15127487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512749216"/>
        <c:crosses val="autoZero"/>
        <c:auto val="1"/>
        <c:lblAlgn val="ctr"/>
        <c:lblOffset val="100"/>
        <c:noMultiLvlLbl val="0"/>
      </c:catAx>
      <c:valAx>
        <c:axId val="15127492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512748736"/>
        <c:crosses val="autoZero"/>
        <c:crossBetween val="between"/>
      </c:valAx>
      <c:spPr>
        <a:noFill/>
        <a:ln>
          <a:noFill/>
        </a:ln>
        <a:effectLst/>
      </c:spPr>
    </c:plotArea>
    <c:plotVisOnly val="1"/>
    <c:dispBlanksAs val="gap"/>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145774</xdr:colOff>
      <xdr:row>0</xdr:row>
      <xdr:rowOff>53009</xdr:rowOff>
    </xdr:from>
    <xdr:to>
      <xdr:col>17</xdr:col>
      <xdr:colOff>583095</xdr:colOff>
      <xdr:row>22</xdr:row>
      <xdr:rowOff>119269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18"/>
  <sheetViews>
    <sheetView zoomScaleNormal="100" workbookViewId="0">
      <pane ySplit="1" topLeftCell="A2" activePane="bottomLeft" state="frozen"/>
      <selection pane="bottomLeft" activeCell="F19" sqref="F19"/>
    </sheetView>
  </sheetViews>
  <sheetFormatPr defaultColWidth="8.85546875" defaultRowHeight="15" x14ac:dyDescent="0.25"/>
  <cols>
    <col min="1" max="1" width="9.7109375" customWidth="1"/>
    <col min="2" max="2" width="15.5703125" bestFit="1" customWidth="1"/>
    <col min="3" max="3" width="20" customWidth="1"/>
    <col min="4" max="4" width="18" customWidth="1"/>
    <col min="5" max="5" width="13.7109375" customWidth="1"/>
    <col min="6" max="6" width="24.85546875" bestFit="1" customWidth="1"/>
  </cols>
  <sheetData>
    <row r="1" spans="1:12" x14ac:dyDescent="0.25">
      <c r="A1" s="1" t="s">
        <v>0</v>
      </c>
      <c r="B1" s="1" t="s">
        <v>1</v>
      </c>
      <c r="C1" s="1" t="s">
        <v>2</v>
      </c>
      <c r="D1" s="1" t="s">
        <v>3</v>
      </c>
      <c r="E1" s="1" t="s">
        <v>4</v>
      </c>
      <c r="F1" s="1" t="s">
        <v>5</v>
      </c>
      <c r="H1" s="100" t="s">
        <v>6</v>
      </c>
      <c r="I1" s="100" t="s">
        <v>2</v>
      </c>
      <c r="J1" s="100" t="s">
        <v>7</v>
      </c>
      <c r="K1" s="100" t="s">
        <v>8</v>
      </c>
      <c r="L1" s="100" t="s">
        <v>9</v>
      </c>
    </row>
    <row r="2" spans="1:12" x14ac:dyDescent="0.25">
      <c r="A2" s="2">
        <f ca="1">1+SUMPRODUCT(--((($D$2:$D$18&gt;D2)+(($D$2:$D$18=D2)*($E$2:$E$18&gt;E2))+(($D$2:$D$18=D2)*($E$2:$E$18=E2)*($F$2:$F$18&gt;F2)))&gt;0))</f>
        <v>1</v>
      </c>
      <c r="B2" s="3" t="s">
        <v>14</v>
      </c>
      <c r="C2" s="3" t="str">
        <f>MIPRODE_Martin!E2</f>
        <v>The Boss</v>
      </c>
      <c r="D2" s="2">
        <f ca="1">2*F2+E2</f>
        <v>43</v>
      </c>
      <c r="E2" s="2">
        <f ca="1">SUMPRODUCT((RESULTADOS_OFICIALES!$A$6:$A$93&lt;&gt;"")*(RESULTADOS_OFICIALES!$E$6:$E$93&lt;&gt;"")*(RESULTADOS_OFICIALES!$G$6:$G$93&lt;&gt;"")*(INDIRECT("'MIPRODE_"&amp;$B2&amp;"'!$F$8:$F$95")&lt;&gt;"")*(INDIRECT("'MIPRODE_"&amp;$B2&amp;"'!$H$8:$H$95")&lt;&gt;"")*(INDIRECT("'MIPRODE_"&amp;$B2&amp;"'!$F$8:$F$95")=RESULTADOS_OFICIALES!$E$6:$E$93)*(INDIRECT("'MIPRODE_"&amp;$B2&amp;"'!$H$8:$H$95")=RESULTADOS_OFICIALES!$G$6:$G$93))</f>
        <v>5</v>
      </c>
      <c r="F2" s="2">
        <f ca="1">SUMPRODUCT((RESULTADOS_OFICIALES!$A$6:$A$93&lt;&gt;"")*(RESULTADOS_OFICIALES!$E$6:$E$93&lt;&gt;"")*(RESULTADOS_OFICIALES!$G$6:$G$93&lt;&gt;"")*(INDIRECT("'MIPRODE_"&amp;$B2&amp;"'!$F$8:$F$95")&lt;&gt;"")*(INDIRECT("'MIPRODE_"&amp;$B2&amp;"'!$H$8:$H$95")&lt;&gt;"")*(((RESULTADOS_OFICIALES!$E$6:$E$93&gt;RESULTADOS_OFICIALES!$G$6:$G$93)*(INDIRECT("'MIPRODE_"&amp;$B2&amp;"'!$F$8:$F$95")&gt;INDIRECT("'MIPRODE_"&amp;$B2&amp;"'!$H$8:$H$95")))+((RESULTADOS_OFICIALES!$E$6:$E$93=RESULTADOS_OFICIALES!$G$6:$G$93)*(INDIRECT("'MIPRODE_"&amp;$B2&amp;"'!$F$8:$F$95")=INDIRECT("'MIPRODE_"&amp;$B2&amp;"'!$H$8:$H$95")))+((RESULTADOS_OFICIALES!$E$6:$E$93&lt;RESULTADOS_OFICIALES!$G$6:$G$93)*(INDIRECT("'MIPRODE_"&amp;$B2&amp;"'!$F$8:$F$95")&lt;INDIRECT("'MIPRODE_"&amp;$B2&amp;"'!$H$8:$H$95")))))</f>
        <v>19</v>
      </c>
      <c r="H2">
        <v>1</v>
      </c>
      <c r="I2" t="e">
        <f t="shared" ref="I2:I18" ca="1" si="0">INDEX($C$2:$C$18, MATCH(LARGE($D$2:$D$18-ROW($D$2:$D$18)/1000, H2), $D$2:$D$18-ROW($D$2:$D$18)/1000, 0))</f>
        <v>#N/A</v>
      </c>
      <c r="J2">
        <f t="shared" ref="J2:J18" ca="1" si="1">LARGE($D$2:$D$18, H2)</f>
        <v>43</v>
      </c>
      <c r="K2" t="e">
        <f t="shared" ref="K2:K18" ca="1" si="2">VLOOKUP(I2, $C$2:$F$18, 3, FALSE)</f>
        <v>#N/A</v>
      </c>
      <c r="L2" t="e">
        <f t="shared" ref="L2:L18" ca="1" si="3">VLOOKUP(I2, $C$2:$F$18, 4, FALSE)</f>
        <v>#N/A</v>
      </c>
    </row>
    <row r="3" spans="1:12" x14ac:dyDescent="0.25">
      <c r="A3" s="2">
        <f ca="1">1+SUMPRODUCT(--((($D$2:$D$18&gt;D3)+(($D$2:$D$18=D3)*($E$2:$E$18&gt;E3))+(($D$2:$D$18=D3)*($E$2:$E$18=E3)*($F$2:$F$18&gt;F3)))&gt;0))</f>
        <v>1</v>
      </c>
      <c r="B3" s="3" t="s">
        <v>21</v>
      </c>
      <c r="C3" s="3" t="str">
        <f>MIPRODE_Gustavo!E2</f>
        <v>Gustavo</v>
      </c>
      <c r="D3" s="2">
        <f ca="1">2*F3+E3</f>
        <v>43</v>
      </c>
      <c r="E3" s="2">
        <f ca="1">SUMPRODUCT((RESULTADOS_OFICIALES!$A$6:$A$93&lt;&gt;"")*(RESULTADOS_OFICIALES!$E$6:$E$93&lt;&gt;"")*(RESULTADOS_OFICIALES!$G$6:$G$93&lt;&gt;"")*(INDIRECT("'MIPRODE_"&amp;$B3&amp;"'!$F$8:$F$95")&lt;&gt;"")*(INDIRECT("'MIPRODE_"&amp;$B3&amp;"'!$H$8:$H$95")&lt;&gt;"")*(INDIRECT("'MIPRODE_"&amp;$B3&amp;"'!$F$8:$F$95")=RESULTADOS_OFICIALES!$E$6:$E$93)*(INDIRECT("'MIPRODE_"&amp;$B3&amp;"'!$H$8:$H$95")=RESULTADOS_OFICIALES!$G$6:$G$93))</f>
        <v>5</v>
      </c>
      <c r="F3" s="2">
        <f ca="1">SUMPRODUCT((RESULTADOS_OFICIALES!$A$6:$A$93&lt;&gt;"")*(RESULTADOS_OFICIALES!$E$6:$E$93&lt;&gt;"")*(RESULTADOS_OFICIALES!$G$6:$G$93&lt;&gt;"")*(INDIRECT("'MIPRODE_"&amp;$B3&amp;"'!$F$8:$F$95")&lt;&gt;"")*(INDIRECT("'MIPRODE_"&amp;$B3&amp;"'!$H$8:$H$95")&lt;&gt;"")*(((RESULTADOS_OFICIALES!$E$6:$E$93&gt;RESULTADOS_OFICIALES!$G$6:$G$93)*(INDIRECT("'MIPRODE_"&amp;$B3&amp;"'!$F$8:$F$95")&gt;INDIRECT("'MIPRODE_"&amp;$B3&amp;"'!$H$8:$H$95")))+((RESULTADOS_OFICIALES!$E$6:$E$93=RESULTADOS_OFICIALES!$G$6:$G$93)*(INDIRECT("'MIPRODE_"&amp;$B3&amp;"'!$F$8:$F$95")=INDIRECT("'MIPRODE_"&amp;$B3&amp;"'!$H$8:$H$95")))+((RESULTADOS_OFICIALES!$E$6:$E$93&lt;RESULTADOS_OFICIALES!$G$6:$G$93)*(INDIRECT("'MIPRODE_"&amp;$B3&amp;"'!$F$8:$F$95")&lt;INDIRECT("'MIPRODE_"&amp;$B3&amp;"'!$H$8:$H$95")))))</f>
        <v>19</v>
      </c>
      <c r="H3">
        <v>2</v>
      </c>
      <c r="I3" t="e">
        <f t="shared" ca="1" si="0"/>
        <v>#NUM!</v>
      </c>
      <c r="J3">
        <f t="shared" ca="1" si="1"/>
        <v>43</v>
      </c>
      <c r="K3" t="e">
        <f t="shared" ca="1" si="2"/>
        <v>#NUM!</v>
      </c>
      <c r="L3" t="e">
        <f t="shared" ca="1" si="3"/>
        <v>#NUM!</v>
      </c>
    </row>
    <row r="4" spans="1:12" x14ac:dyDescent="0.25">
      <c r="A4" s="2">
        <f ca="1">1+SUMPRODUCT(--((($D$2:$D$18&gt;D4)+(($D$2:$D$18=D4)*($E$2:$E$18&gt;E4))+(($D$2:$D$18=D4)*($E$2:$E$18=E4)*($F$2:$F$18&gt;F4)))&gt;0))</f>
        <v>3</v>
      </c>
      <c r="B4" s="3" t="s">
        <v>13</v>
      </c>
      <c r="C4" s="3" t="str">
        <f>MIPRODE_Sabrina!E2</f>
        <v>SABRINA (LA MAS MEJOR)</v>
      </c>
      <c r="D4" s="2">
        <f ca="1">2*F4+E4</f>
        <v>43</v>
      </c>
      <c r="E4" s="2">
        <f ca="1">SUMPRODUCT((RESULTADOS_OFICIALES!$A$6:$A$93&lt;&gt;"")*(RESULTADOS_OFICIALES!$E$6:$E$93&lt;&gt;"")*(RESULTADOS_OFICIALES!$G$6:$G$93&lt;&gt;"")*(INDIRECT("'MIPRODE_"&amp;$B4&amp;"'!$F$8:$F$95")&lt;&gt;"")*(INDIRECT("'MIPRODE_"&amp;$B4&amp;"'!$H$8:$H$95")&lt;&gt;"")*(INDIRECT("'MIPRODE_"&amp;$B4&amp;"'!$F$8:$F$95")=RESULTADOS_OFICIALES!$E$6:$E$93)*(INDIRECT("'MIPRODE_"&amp;$B4&amp;"'!$H$8:$H$95")=RESULTADOS_OFICIALES!$G$6:$G$93))</f>
        <v>1</v>
      </c>
      <c r="F4" s="2">
        <f ca="1">SUMPRODUCT((RESULTADOS_OFICIALES!$A$6:$A$93&lt;&gt;"")*(RESULTADOS_OFICIALES!$E$6:$E$93&lt;&gt;"")*(RESULTADOS_OFICIALES!$G$6:$G$93&lt;&gt;"")*(INDIRECT("'MIPRODE_"&amp;$B4&amp;"'!$F$8:$F$95")&lt;&gt;"")*(INDIRECT("'MIPRODE_"&amp;$B4&amp;"'!$H$8:$H$95")&lt;&gt;"")*(((RESULTADOS_OFICIALES!$E$6:$E$93&gt;RESULTADOS_OFICIALES!$G$6:$G$93)*(INDIRECT("'MIPRODE_"&amp;$B4&amp;"'!$F$8:$F$95")&gt;INDIRECT("'MIPRODE_"&amp;$B4&amp;"'!$H$8:$H$95")))+((RESULTADOS_OFICIALES!$E$6:$E$93=RESULTADOS_OFICIALES!$G$6:$G$93)*(INDIRECT("'MIPRODE_"&amp;$B4&amp;"'!$F$8:$F$95")=INDIRECT("'MIPRODE_"&amp;$B4&amp;"'!$H$8:$H$95")))+((RESULTADOS_OFICIALES!$E$6:$E$93&lt;RESULTADOS_OFICIALES!$G$6:$G$93)*(INDIRECT("'MIPRODE_"&amp;$B4&amp;"'!$F$8:$F$95")&lt;INDIRECT("'MIPRODE_"&amp;$B4&amp;"'!$H$8:$H$95")))))</f>
        <v>21</v>
      </c>
      <c r="H4">
        <v>3</v>
      </c>
      <c r="I4" t="e">
        <f t="shared" ca="1" si="0"/>
        <v>#NUM!</v>
      </c>
      <c r="J4">
        <f t="shared" ca="1" si="1"/>
        <v>43</v>
      </c>
      <c r="K4" t="e">
        <f t="shared" ca="1" si="2"/>
        <v>#NUM!</v>
      </c>
      <c r="L4" t="e">
        <f t="shared" ca="1" si="3"/>
        <v>#NUM!</v>
      </c>
    </row>
    <row r="5" spans="1:12" x14ac:dyDescent="0.25">
      <c r="A5" s="2">
        <f ca="1">1+SUMPRODUCT(--((($D$2:$D$18&gt;D5)+(($D$2:$D$18=D5)*($E$2:$E$18&gt;E5))+(($D$2:$D$18=D5)*($E$2:$E$18=E5)*($F$2:$F$18&gt;F5)))&gt;0))</f>
        <v>4</v>
      </c>
      <c r="B5" s="3" t="s">
        <v>22</v>
      </c>
      <c r="C5" s="3" t="str">
        <f>MIPRODE_Janina!E2</f>
        <v>fraud advisor Jani</v>
      </c>
      <c r="D5" s="2">
        <f ca="1">2*F5+E5</f>
        <v>40</v>
      </c>
      <c r="E5" s="2">
        <f ca="1">SUMPRODUCT((RESULTADOS_OFICIALES!$A$6:$A$93&lt;&gt;"")*(RESULTADOS_OFICIALES!$E$6:$E$93&lt;&gt;"")*(RESULTADOS_OFICIALES!$G$6:$G$93&lt;&gt;"")*(INDIRECT("'MIPRODE_"&amp;$B5&amp;"'!$F$8:$F$95")&lt;&gt;"")*(INDIRECT("'MIPRODE_"&amp;$B5&amp;"'!$H$8:$H$95")&lt;&gt;"")*(INDIRECT("'MIPRODE_"&amp;$B5&amp;"'!$F$8:$F$95")=RESULTADOS_OFICIALES!$E$6:$E$93)*(INDIRECT("'MIPRODE_"&amp;$B5&amp;"'!$H$8:$H$95")=RESULTADOS_OFICIALES!$G$6:$G$93))</f>
        <v>4</v>
      </c>
      <c r="F5" s="2">
        <f ca="1">SUMPRODUCT((RESULTADOS_OFICIALES!$A$6:$A$93&lt;&gt;"")*(RESULTADOS_OFICIALES!$E$6:$E$93&lt;&gt;"")*(RESULTADOS_OFICIALES!$G$6:$G$93&lt;&gt;"")*(INDIRECT("'MIPRODE_"&amp;$B5&amp;"'!$F$8:$F$95")&lt;&gt;"")*(INDIRECT("'MIPRODE_"&amp;$B5&amp;"'!$H$8:$H$95")&lt;&gt;"")*(((RESULTADOS_OFICIALES!$E$6:$E$93&gt;RESULTADOS_OFICIALES!$G$6:$G$93)*(INDIRECT("'MIPRODE_"&amp;$B5&amp;"'!$F$8:$F$95")&gt;INDIRECT("'MIPRODE_"&amp;$B5&amp;"'!$H$8:$H$95")))+((RESULTADOS_OFICIALES!$E$6:$E$93=RESULTADOS_OFICIALES!$G$6:$G$93)*(INDIRECT("'MIPRODE_"&amp;$B5&amp;"'!$F$8:$F$95")=INDIRECT("'MIPRODE_"&amp;$B5&amp;"'!$H$8:$H$95")))+((RESULTADOS_OFICIALES!$E$6:$E$93&lt;RESULTADOS_OFICIALES!$G$6:$G$93)*(INDIRECT("'MIPRODE_"&amp;$B5&amp;"'!$F$8:$F$95")&lt;INDIRECT("'MIPRODE_"&amp;$B5&amp;"'!$H$8:$H$95")))))</f>
        <v>18</v>
      </c>
      <c r="H5">
        <v>4</v>
      </c>
      <c r="I5" t="e">
        <f t="shared" ca="1" si="0"/>
        <v>#NUM!</v>
      </c>
      <c r="J5">
        <f t="shared" ca="1" si="1"/>
        <v>40</v>
      </c>
      <c r="K5" t="e">
        <f t="shared" ca="1" si="2"/>
        <v>#NUM!</v>
      </c>
      <c r="L5" t="e">
        <f t="shared" ca="1" si="3"/>
        <v>#NUM!</v>
      </c>
    </row>
    <row r="6" spans="1:12" x14ac:dyDescent="0.25">
      <c r="A6" s="2">
        <f ca="1">1+SUMPRODUCT(--((($D$2:$D$18&gt;D6)+(($D$2:$D$18=D6)*($E$2:$E$18&gt;E6))+(($D$2:$D$18=D6)*($E$2:$E$18=E6)*($F$2:$F$18&gt;F6)))&gt;0))</f>
        <v>5</v>
      </c>
      <c r="B6" s="3" t="s">
        <v>16</v>
      </c>
      <c r="C6" s="3" t="str">
        <f>MIPRODE_Mariela!E2</f>
        <v>Marie</v>
      </c>
      <c r="D6" s="2">
        <f ca="1">2*F6+E6</f>
        <v>39</v>
      </c>
      <c r="E6" s="2">
        <f ca="1">SUMPRODUCT((RESULTADOS_OFICIALES!$A$6:$A$93&lt;&gt;"")*(RESULTADOS_OFICIALES!$E$6:$E$93&lt;&gt;"")*(RESULTADOS_OFICIALES!$G$6:$G$93&lt;&gt;"")*(INDIRECT("'MIPRODE_"&amp;$B6&amp;"'!$F$8:$F$95")&lt;&gt;"")*(INDIRECT("'MIPRODE_"&amp;$B6&amp;"'!$H$8:$H$95")&lt;&gt;"")*(INDIRECT("'MIPRODE_"&amp;$B6&amp;"'!$F$8:$F$95")=RESULTADOS_OFICIALES!$E$6:$E$93)*(INDIRECT("'MIPRODE_"&amp;$B6&amp;"'!$H$8:$H$95")=RESULTADOS_OFICIALES!$G$6:$G$93))</f>
        <v>1</v>
      </c>
      <c r="F6" s="2">
        <f ca="1">SUMPRODUCT((RESULTADOS_OFICIALES!$A$6:$A$93&lt;&gt;"")*(RESULTADOS_OFICIALES!$E$6:$E$93&lt;&gt;"")*(RESULTADOS_OFICIALES!$G$6:$G$93&lt;&gt;"")*(INDIRECT("'MIPRODE_"&amp;$B6&amp;"'!$F$8:$F$95")&lt;&gt;"")*(INDIRECT("'MIPRODE_"&amp;$B6&amp;"'!$H$8:$H$95")&lt;&gt;"")*(((RESULTADOS_OFICIALES!$E$6:$E$93&gt;RESULTADOS_OFICIALES!$G$6:$G$93)*(INDIRECT("'MIPRODE_"&amp;$B6&amp;"'!$F$8:$F$95")&gt;INDIRECT("'MIPRODE_"&amp;$B6&amp;"'!$H$8:$H$95")))+((RESULTADOS_OFICIALES!$E$6:$E$93=RESULTADOS_OFICIALES!$G$6:$G$93)*(INDIRECT("'MIPRODE_"&amp;$B6&amp;"'!$F$8:$F$95")=INDIRECT("'MIPRODE_"&amp;$B6&amp;"'!$H$8:$H$95")))+((RESULTADOS_OFICIALES!$E$6:$E$93&lt;RESULTADOS_OFICIALES!$G$6:$G$93)*(INDIRECT("'MIPRODE_"&amp;$B6&amp;"'!$F$8:$F$95")&lt;INDIRECT("'MIPRODE_"&amp;$B6&amp;"'!$H$8:$H$95")))))</f>
        <v>19</v>
      </c>
      <c r="H6">
        <v>5</v>
      </c>
      <c r="I6" t="e">
        <f t="shared" ca="1" si="0"/>
        <v>#NUM!</v>
      </c>
      <c r="J6">
        <f t="shared" ca="1" si="1"/>
        <v>39</v>
      </c>
      <c r="K6" t="e">
        <f t="shared" ca="1" si="2"/>
        <v>#NUM!</v>
      </c>
      <c r="L6" t="e">
        <f t="shared" ca="1" si="3"/>
        <v>#NUM!</v>
      </c>
    </row>
    <row r="7" spans="1:12" x14ac:dyDescent="0.25">
      <c r="A7" s="2">
        <f ca="1">1+SUMPRODUCT(--((($D$2:$D$18&gt;D7)+(($D$2:$D$18=D7)*($E$2:$E$18&gt;E7))+(($D$2:$D$18=D7)*($E$2:$E$18=E7)*($F$2:$F$18&gt;F7)))&gt;0))</f>
        <v>6</v>
      </c>
      <c r="B7" s="3" t="s">
        <v>18</v>
      </c>
      <c r="C7" s="3" t="str">
        <f>MIPRODE_Marcos!E2</f>
        <v>Marquinhos</v>
      </c>
      <c r="D7" s="2">
        <f ca="1">2*F7+E7</f>
        <v>37</v>
      </c>
      <c r="E7" s="2">
        <f ca="1">SUMPRODUCT((RESULTADOS_OFICIALES!$A$6:$A$93&lt;&gt;"")*(RESULTADOS_OFICIALES!$E$6:$E$93&lt;&gt;"")*(RESULTADOS_OFICIALES!$G$6:$G$93&lt;&gt;"")*(INDIRECT("'MIPRODE_"&amp;$B7&amp;"'!$F$8:$F$95")&lt;&gt;"")*(INDIRECT("'MIPRODE_"&amp;$B7&amp;"'!$H$8:$H$95")&lt;&gt;"")*(INDIRECT("'MIPRODE_"&amp;$B7&amp;"'!$F$8:$F$95")=RESULTADOS_OFICIALES!$E$6:$E$93)*(INDIRECT("'MIPRODE_"&amp;$B7&amp;"'!$H$8:$H$95")=RESULTADOS_OFICIALES!$G$6:$G$93))</f>
        <v>5</v>
      </c>
      <c r="F7" s="2">
        <f ca="1">SUMPRODUCT((RESULTADOS_OFICIALES!$A$6:$A$93&lt;&gt;"")*(RESULTADOS_OFICIALES!$E$6:$E$93&lt;&gt;"")*(RESULTADOS_OFICIALES!$G$6:$G$93&lt;&gt;"")*(INDIRECT("'MIPRODE_"&amp;$B7&amp;"'!$F$8:$F$95")&lt;&gt;"")*(INDIRECT("'MIPRODE_"&amp;$B7&amp;"'!$H$8:$H$95")&lt;&gt;"")*(((RESULTADOS_OFICIALES!$E$6:$E$93&gt;RESULTADOS_OFICIALES!$G$6:$G$93)*(INDIRECT("'MIPRODE_"&amp;$B7&amp;"'!$F$8:$F$95")&gt;INDIRECT("'MIPRODE_"&amp;$B7&amp;"'!$H$8:$H$95")))+((RESULTADOS_OFICIALES!$E$6:$E$93=RESULTADOS_OFICIALES!$G$6:$G$93)*(INDIRECT("'MIPRODE_"&amp;$B7&amp;"'!$F$8:$F$95")=INDIRECT("'MIPRODE_"&amp;$B7&amp;"'!$H$8:$H$95")))+((RESULTADOS_OFICIALES!$E$6:$E$93&lt;RESULTADOS_OFICIALES!$G$6:$G$93)*(INDIRECT("'MIPRODE_"&amp;$B7&amp;"'!$F$8:$F$95")&lt;INDIRECT("'MIPRODE_"&amp;$B7&amp;"'!$H$8:$H$95")))))</f>
        <v>16</v>
      </c>
      <c r="H7">
        <v>6</v>
      </c>
      <c r="I7" t="e">
        <f t="shared" ca="1" si="0"/>
        <v>#NUM!</v>
      </c>
      <c r="J7">
        <f t="shared" ca="1" si="1"/>
        <v>37</v>
      </c>
      <c r="K7" t="e">
        <f t="shared" ca="1" si="2"/>
        <v>#NUM!</v>
      </c>
      <c r="L7" t="e">
        <f t="shared" ca="1" si="3"/>
        <v>#NUM!</v>
      </c>
    </row>
    <row r="8" spans="1:12" x14ac:dyDescent="0.25">
      <c r="A8" s="2">
        <f ca="1">1+SUMPRODUCT(--((($D$2:$D$18&gt;D8)+(($D$2:$D$18=D8)*($E$2:$E$18&gt;E8))+(($D$2:$D$18=D8)*($E$2:$E$18=E8)*($F$2:$F$18&gt;F8)))&gt;0))</f>
        <v>7</v>
      </c>
      <c r="B8" s="3" t="s">
        <v>17</v>
      </c>
      <c r="C8" s="3" t="str">
        <f>MIPRODE_Raul!E2</f>
        <v>RAULO</v>
      </c>
      <c r="D8" s="2">
        <f ca="1">2*F8+E8</f>
        <v>37</v>
      </c>
      <c r="E8" s="2">
        <f ca="1">SUMPRODUCT((RESULTADOS_OFICIALES!$A$6:$A$93&lt;&gt;"")*(RESULTADOS_OFICIALES!$E$6:$E$93&lt;&gt;"")*(RESULTADOS_OFICIALES!$G$6:$G$93&lt;&gt;"")*(INDIRECT("'MIPRODE_"&amp;$B8&amp;"'!$F$8:$F$95")&lt;&gt;"")*(INDIRECT("'MIPRODE_"&amp;$B8&amp;"'!$H$8:$H$95")&lt;&gt;"")*(INDIRECT("'MIPRODE_"&amp;$B8&amp;"'!$F$8:$F$95")=RESULTADOS_OFICIALES!$E$6:$E$93)*(INDIRECT("'MIPRODE_"&amp;$B8&amp;"'!$H$8:$H$95")=RESULTADOS_OFICIALES!$G$6:$G$93))</f>
        <v>3</v>
      </c>
      <c r="F8" s="2">
        <f ca="1">SUMPRODUCT((RESULTADOS_OFICIALES!$A$6:$A$93&lt;&gt;"")*(RESULTADOS_OFICIALES!$E$6:$E$93&lt;&gt;"")*(RESULTADOS_OFICIALES!$G$6:$G$93&lt;&gt;"")*(INDIRECT("'MIPRODE_"&amp;$B8&amp;"'!$F$8:$F$95")&lt;&gt;"")*(INDIRECT("'MIPRODE_"&amp;$B8&amp;"'!$H$8:$H$95")&lt;&gt;"")*(((RESULTADOS_OFICIALES!$E$6:$E$93&gt;RESULTADOS_OFICIALES!$G$6:$G$93)*(INDIRECT("'MIPRODE_"&amp;$B8&amp;"'!$F$8:$F$95")&gt;INDIRECT("'MIPRODE_"&amp;$B8&amp;"'!$H$8:$H$95")))+((RESULTADOS_OFICIALES!$E$6:$E$93=RESULTADOS_OFICIALES!$G$6:$G$93)*(INDIRECT("'MIPRODE_"&amp;$B8&amp;"'!$F$8:$F$95")=INDIRECT("'MIPRODE_"&amp;$B8&amp;"'!$H$8:$H$95")))+((RESULTADOS_OFICIALES!$E$6:$E$93&lt;RESULTADOS_OFICIALES!$G$6:$G$93)*(INDIRECT("'MIPRODE_"&amp;$B8&amp;"'!$F$8:$F$95")&lt;INDIRECT("'MIPRODE_"&amp;$B8&amp;"'!$H$8:$H$95")))))</f>
        <v>17</v>
      </c>
      <c r="H8">
        <v>7</v>
      </c>
      <c r="I8" t="e">
        <f t="shared" ca="1" si="0"/>
        <v>#NUM!</v>
      </c>
      <c r="J8">
        <f t="shared" ca="1" si="1"/>
        <v>37</v>
      </c>
      <c r="K8" t="e">
        <f t="shared" ca="1" si="2"/>
        <v>#NUM!</v>
      </c>
      <c r="L8" t="e">
        <f t="shared" ca="1" si="3"/>
        <v>#NUM!</v>
      </c>
    </row>
    <row r="9" spans="1:12" x14ac:dyDescent="0.25">
      <c r="A9" s="2">
        <f ca="1">1+SUMPRODUCT(--((($D$2:$D$18&gt;D9)+(($D$2:$D$18=D9)*($E$2:$E$18&gt;E9))+(($D$2:$D$18=D9)*($E$2:$E$18=E9)*($F$2:$F$18&gt;F9)))&gt;0))</f>
        <v>8</v>
      </c>
      <c r="B9" s="3" t="s">
        <v>10</v>
      </c>
      <c r="C9" s="3" t="str">
        <f>MIPRODE_Paula!E2</f>
        <v>La Emperatriz</v>
      </c>
      <c r="D9" s="2">
        <f ca="1">2*F9+E9</f>
        <v>34</v>
      </c>
      <c r="E9" s="2">
        <f ca="1">SUMPRODUCT((RESULTADOS_OFICIALES!$A$6:$A$93&lt;&gt;"")*(RESULTADOS_OFICIALES!$E$6:$E$93&lt;&gt;"")*(RESULTADOS_OFICIALES!$G$6:$G$93&lt;&gt;"")*(INDIRECT("'MIPRODE_"&amp;$B9&amp;"'!$F$8:$F$95")&lt;&gt;"")*(INDIRECT("'MIPRODE_"&amp;$B9&amp;"'!$H$8:$H$95")&lt;&gt;"")*(INDIRECT("'MIPRODE_"&amp;$B9&amp;"'!$F$8:$F$95")=RESULTADOS_OFICIALES!$E$6:$E$93)*(INDIRECT("'MIPRODE_"&amp;$B9&amp;"'!$H$8:$H$95")=RESULTADOS_OFICIALES!$G$6:$G$93))</f>
        <v>4</v>
      </c>
      <c r="F9" s="2">
        <f ca="1">SUMPRODUCT((RESULTADOS_OFICIALES!$A$6:$A$93&lt;&gt;"")*(RESULTADOS_OFICIALES!$E$6:$E$93&lt;&gt;"")*(RESULTADOS_OFICIALES!$G$6:$G$93&lt;&gt;"")*(INDIRECT("'MIPRODE_"&amp;$B9&amp;"'!$F$8:$F$95")&lt;&gt;"")*(INDIRECT("'MIPRODE_"&amp;$B9&amp;"'!$H$8:$H$95")&lt;&gt;"")*(((RESULTADOS_OFICIALES!$E$6:$E$93&gt;RESULTADOS_OFICIALES!$G$6:$G$93)*(INDIRECT("'MIPRODE_"&amp;$B9&amp;"'!$F$8:$F$95")&gt;INDIRECT("'MIPRODE_"&amp;$B9&amp;"'!$H$8:$H$95")))+((RESULTADOS_OFICIALES!$E$6:$E$93=RESULTADOS_OFICIALES!$G$6:$G$93)*(INDIRECT("'MIPRODE_"&amp;$B9&amp;"'!$F$8:$F$95")=INDIRECT("'MIPRODE_"&amp;$B9&amp;"'!$H$8:$H$95")))+((RESULTADOS_OFICIALES!$E$6:$E$93&lt;RESULTADOS_OFICIALES!$G$6:$G$93)*(INDIRECT("'MIPRODE_"&amp;$B9&amp;"'!$F$8:$F$95")&lt;INDIRECT("'MIPRODE_"&amp;$B9&amp;"'!$H$8:$H$95")))))</f>
        <v>15</v>
      </c>
      <c r="H9">
        <v>8</v>
      </c>
      <c r="I9" t="e">
        <f t="shared" ca="1" si="0"/>
        <v>#NUM!</v>
      </c>
      <c r="J9">
        <f t="shared" ca="1" si="1"/>
        <v>34</v>
      </c>
      <c r="K9" t="e">
        <f t="shared" ca="1" si="2"/>
        <v>#NUM!</v>
      </c>
      <c r="L9" t="e">
        <f t="shared" ca="1" si="3"/>
        <v>#NUM!</v>
      </c>
    </row>
    <row r="10" spans="1:12" x14ac:dyDescent="0.25">
      <c r="A10" s="2">
        <f ca="1">1+SUMPRODUCT(--((($D$2:$D$18&gt;D10)+(($D$2:$D$18=D10)*($E$2:$E$18&gt;E10))+(($D$2:$D$18=D10)*($E$2:$E$18=E10)*($F$2:$F$18&gt;F10)))&gt;0))</f>
        <v>9</v>
      </c>
      <c r="B10" s="3" t="s">
        <v>15</v>
      </c>
      <c r="C10" s="3" t="str">
        <f>MIPRODE_Alejandra!E2</f>
        <v>Alejandra</v>
      </c>
      <c r="D10" s="2">
        <f ca="1">2*F10+E10</f>
        <v>33</v>
      </c>
      <c r="E10" s="2">
        <f ca="1">SUMPRODUCT((RESULTADOS_OFICIALES!$A$6:$A$93&lt;&gt;"")*(RESULTADOS_OFICIALES!$E$6:$E$93&lt;&gt;"")*(RESULTADOS_OFICIALES!$G$6:$G$93&lt;&gt;"")*(INDIRECT("'MIPRODE_"&amp;$B10&amp;"'!$F$8:$F$95")&lt;&gt;"")*(INDIRECT("'MIPRODE_"&amp;$B10&amp;"'!$H$8:$H$95")&lt;&gt;"")*(INDIRECT("'MIPRODE_"&amp;$B10&amp;"'!$F$8:$F$95")=RESULTADOS_OFICIALES!$E$6:$E$93)*(INDIRECT("'MIPRODE_"&amp;$B10&amp;"'!$H$8:$H$95")=RESULTADOS_OFICIALES!$G$6:$G$93))</f>
        <v>1</v>
      </c>
      <c r="F10" s="2">
        <f ca="1">SUMPRODUCT((RESULTADOS_OFICIALES!$A$6:$A$93&lt;&gt;"")*(RESULTADOS_OFICIALES!$E$6:$E$93&lt;&gt;"")*(RESULTADOS_OFICIALES!$G$6:$G$93&lt;&gt;"")*(INDIRECT("'MIPRODE_"&amp;$B10&amp;"'!$F$8:$F$95")&lt;&gt;"")*(INDIRECT("'MIPRODE_"&amp;$B10&amp;"'!$H$8:$H$95")&lt;&gt;"")*(((RESULTADOS_OFICIALES!$E$6:$E$93&gt;RESULTADOS_OFICIALES!$G$6:$G$93)*(INDIRECT("'MIPRODE_"&amp;$B10&amp;"'!$F$8:$F$95")&gt;INDIRECT("'MIPRODE_"&amp;$B10&amp;"'!$H$8:$H$95")))+((RESULTADOS_OFICIALES!$E$6:$E$93=RESULTADOS_OFICIALES!$G$6:$G$93)*(INDIRECT("'MIPRODE_"&amp;$B10&amp;"'!$F$8:$F$95")=INDIRECT("'MIPRODE_"&amp;$B10&amp;"'!$H$8:$H$95")))+((RESULTADOS_OFICIALES!$E$6:$E$93&lt;RESULTADOS_OFICIALES!$G$6:$G$93)*(INDIRECT("'MIPRODE_"&amp;$B10&amp;"'!$F$8:$F$95")&lt;INDIRECT("'MIPRODE_"&amp;$B10&amp;"'!$H$8:$H$95")))))</f>
        <v>16</v>
      </c>
      <c r="H10">
        <v>9</v>
      </c>
      <c r="I10" t="e">
        <f t="shared" ca="1" si="0"/>
        <v>#NUM!</v>
      </c>
      <c r="J10">
        <f t="shared" ca="1" si="1"/>
        <v>33</v>
      </c>
      <c r="K10" t="e">
        <f t="shared" ca="1" si="2"/>
        <v>#NUM!</v>
      </c>
      <c r="L10" t="e">
        <f t="shared" ca="1" si="3"/>
        <v>#NUM!</v>
      </c>
    </row>
    <row r="11" spans="1:12" x14ac:dyDescent="0.25">
      <c r="A11" s="2">
        <f ca="1">1+SUMPRODUCT(--((($D$2:$D$18&gt;D11)+(($D$2:$D$18=D11)*($E$2:$E$18&gt;E11))+(($D$2:$D$18=D11)*($E$2:$E$18=E11)*($F$2:$F$18&gt;F11)))&gt;0))</f>
        <v>10</v>
      </c>
      <c r="B11" s="3" t="s">
        <v>11</v>
      </c>
      <c r="C11" s="3" t="str">
        <f>MIPRODE_Julieta!E2</f>
        <v>Julieta</v>
      </c>
      <c r="D11" s="2">
        <f ca="1">2*F11+E11</f>
        <v>32</v>
      </c>
      <c r="E11" s="2">
        <f t="array" aca="1" ref="E11" ca="1">SUMPRODUCT((RESULTADOS_OFICIALES!$A$6:$A$93&lt;&gt;"")*(RESULTADOS_OFICIALES!$E$6:$E$93&lt;&gt;"")*(RESULTADOS_OFICIALES!$G$6:$G$93&lt;&gt;"")*(INDIRECT("'MIPRODE_"&amp;$B11&amp;"'!$F$8:$F$95")&lt;&gt;"")*(INDIRECT("'MIPRODE_"&amp;$B11&amp;"'!$H$8:$H$95")&lt;&gt;"")*(INDIRECT("'MIPRODE_"&amp;$B11&amp;"'!$F$8:$F$95")=RESULTADOS_OFICIALES!$E$6:$E$93)*(INDIRECT("'MIPRODE_"&amp;$B11&amp;"'!$H$8:$H$95")=RESULTADOS_OFICIALES!$G$6:$G$93))</f>
        <v>4</v>
      </c>
      <c r="F11" s="2">
        <f ca="1">SUMPRODUCT((RESULTADOS_OFICIALES!$A$6:$A$93&lt;&gt;"")*(RESULTADOS_OFICIALES!$E$6:$E$93&lt;&gt;"")*(RESULTADOS_OFICIALES!$G$6:$G$93&lt;&gt;"")*(INDIRECT("'MIPRODE_"&amp;$B11&amp;"'!$F$8:$F$95")&lt;&gt;"")*(INDIRECT("'MIPRODE_"&amp;$B11&amp;"'!$H$8:$H$95")&lt;&gt;"")*(((RESULTADOS_OFICIALES!$E$6:$E$93&gt;RESULTADOS_OFICIALES!$G$6:$G$93)*(INDIRECT("'MIPRODE_"&amp;$B11&amp;"'!$F$8:$F$95")&gt;INDIRECT("'MIPRODE_"&amp;$B11&amp;"'!$H$8:$H$95")))+((RESULTADOS_OFICIALES!$E$6:$E$93=RESULTADOS_OFICIALES!$G$6:$G$93)*(INDIRECT("'MIPRODE_"&amp;$B11&amp;"'!$F$8:$F$95")=INDIRECT("'MIPRODE_"&amp;$B11&amp;"'!$H$8:$H$95")))+((RESULTADOS_OFICIALES!$E$6:$E$93&lt;RESULTADOS_OFICIALES!$G$6:$G$93)*(INDIRECT("'MIPRODE_"&amp;$B11&amp;"'!$F$8:$F$95")&lt;INDIRECT("'MIPRODE_"&amp;$B11&amp;"'!$H$8:$H$95")))))</f>
        <v>14</v>
      </c>
      <c r="H11">
        <v>10</v>
      </c>
      <c r="I11" t="e">
        <f t="shared" ca="1" si="0"/>
        <v>#NUM!</v>
      </c>
      <c r="J11">
        <f t="shared" ca="1" si="1"/>
        <v>32</v>
      </c>
      <c r="K11" t="e">
        <f t="shared" ca="1" si="2"/>
        <v>#NUM!</v>
      </c>
      <c r="L11" t="e">
        <f t="shared" ca="1" si="3"/>
        <v>#NUM!</v>
      </c>
    </row>
    <row r="12" spans="1:12" x14ac:dyDescent="0.25">
      <c r="A12" s="2">
        <f ca="1">1+SUMPRODUCT(--((($D$2:$D$18&gt;D12)+(($D$2:$D$18=D12)*($E$2:$E$18&gt;E12))+(($D$2:$D$18=D12)*($E$2:$E$18=E12)*($F$2:$F$18&gt;F12)))&gt;0))</f>
        <v>11</v>
      </c>
      <c r="B12" s="3" t="s">
        <v>25</v>
      </c>
      <c r="C12" s="3" t="str">
        <f>MIPRODE_Vanesa!E2</f>
        <v>Vanesa</v>
      </c>
      <c r="D12" s="2">
        <f ca="1">2*F12+E12</f>
        <v>32</v>
      </c>
      <c r="E12" s="2">
        <f ca="1">SUMPRODUCT((RESULTADOS_OFICIALES!$A$6:$A$93&lt;&gt;"")*(RESULTADOS_OFICIALES!$E$6:$E$93&lt;&gt;"")*(RESULTADOS_OFICIALES!$G$6:$G$93&lt;&gt;"")*(INDIRECT("'MIPRODE_"&amp;$B12&amp;"'!$F$8:$F$95")&lt;&gt;"")*(INDIRECT("'MIPRODE_"&amp;$B12&amp;"'!$H$8:$H$95")&lt;&gt;"")*(INDIRECT("'MIPRODE_"&amp;$B12&amp;"'!$F$8:$F$95")=RESULTADOS_OFICIALES!$E$6:$E$93)*(INDIRECT("'MIPRODE_"&amp;$B12&amp;"'!$H$8:$H$95")=RESULTADOS_OFICIALES!$G$6:$G$93))</f>
        <v>2</v>
      </c>
      <c r="F12" s="2">
        <f ca="1">SUMPRODUCT((RESULTADOS_OFICIALES!$A$6:$A$93&lt;&gt;"")*(RESULTADOS_OFICIALES!$E$6:$E$93&lt;&gt;"")*(RESULTADOS_OFICIALES!$G$6:$G$93&lt;&gt;"")*(INDIRECT("'MIPRODE_"&amp;$B12&amp;"'!$F$8:$F$95")&lt;&gt;"")*(INDIRECT("'MIPRODE_"&amp;$B12&amp;"'!$H$8:$H$95")&lt;&gt;"")*(((RESULTADOS_OFICIALES!$E$6:$E$93&gt;RESULTADOS_OFICIALES!$G$6:$G$93)*(INDIRECT("'MIPRODE_"&amp;$B12&amp;"'!$F$8:$F$95")&gt;INDIRECT("'MIPRODE_"&amp;$B12&amp;"'!$H$8:$H$95")))+((RESULTADOS_OFICIALES!$E$6:$E$93=RESULTADOS_OFICIALES!$G$6:$G$93)*(INDIRECT("'MIPRODE_"&amp;$B12&amp;"'!$F$8:$F$95")=INDIRECT("'MIPRODE_"&amp;$B12&amp;"'!$H$8:$H$95")))+((RESULTADOS_OFICIALES!$E$6:$E$93&lt;RESULTADOS_OFICIALES!$G$6:$G$93)*(INDIRECT("'MIPRODE_"&amp;$B12&amp;"'!$F$8:$F$95")&lt;INDIRECT("'MIPRODE_"&amp;$B12&amp;"'!$H$8:$H$95")))))</f>
        <v>15</v>
      </c>
      <c r="H12">
        <v>11</v>
      </c>
      <c r="I12" t="e">
        <f t="shared" ca="1" si="0"/>
        <v>#NUM!</v>
      </c>
      <c r="J12">
        <f t="shared" ca="1" si="1"/>
        <v>32</v>
      </c>
      <c r="K12" t="e">
        <f t="shared" ca="1" si="2"/>
        <v>#NUM!</v>
      </c>
      <c r="L12" t="e">
        <f t="shared" ca="1" si="3"/>
        <v>#NUM!</v>
      </c>
    </row>
    <row r="13" spans="1:12" x14ac:dyDescent="0.25">
      <c r="A13" s="2">
        <f ca="1">1+SUMPRODUCT(--((($D$2:$D$18&gt;D13)+(($D$2:$D$18=D13)*($E$2:$E$18&gt;E13))+(($D$2:$D$18=D13)*($E$2:$E$18=E13)*($F$2:$F$18&gt;F13)))&gt;0))</f>
        <v>12</v>
      </c>
      <c r="B13" s="3" t="s">
        <v>23</v>
      </c>
      <c r="C13" s="3" t="str">
        <f>MIPRODE_Matias!E2</f>
        <v>Matias</v>
      </c>
      <c r="D13" s="2">
        <f ca="1">2*F13+E13</f>
        <v>31</v>
      </c>
      <c r="E13" s="2">
        <f ca="1">SUMPRODUCT((RESULTADOS_OFICIALES!$A$6:$A$93&lt;&gt;"")*(RESULTADOS_OFICIALES!$E$6:$E$93&lt;&gt;"")*(RESULTADOS_OFICIALES!$G$6:$G$93&lt;&gt;"")*(INDIRECT("'MIPRODE_"&amp;$B13&amp;"'!$F$8:$F$95")&lt;&gt;"")*(INDIRECT("'MIPRODE_"&amp;$B13&amp;"'!$H$8:$H$95")&lt;&gt;"")*(INDIRECT("'MIPRODE_"&amp;$B13&amp;"'!$F$8:$F$95")=RESULTADOS_OFICIALES!$E$6:$E$93)*(INDIRECT("'MIPRODE_"&amp;$B13&amp;"'!$H$8:$H$95")=RESULTADOS_OFICIALES!$G$6:$G$93))</f>
        <v>3</v>
      </c>
      <c r="F13" s="2">
        <f ca="1">SUMPRODUCT((RESULTADOS_OFICIALES!$A$6:$A$93&lt;&gt;"")*(RESULTADOS_OFICIALES!$E$6:$E$93&lt;&gt;"")*(RESULTADOS_OFICIALES!$G$6:$G$93&lt;&gt;"")*(INDIRECT("'MIPRODE_"&amp;$B13&amp;"'!$F$8:$F$95")&lt;&gt;"")*(INDIRECT("'MIPRODE_"&amp;$B13&amp;"'!$H$8:$H$95")&lt;&gt;"")*(((RESULTADOS_OFICIALES!$E$6:$E$93&gt;RESULTADOS_OFICIALES!$G$6:$G$93)*(INDIRECT("'MIPRODE_"&amp;$B13&amp;"'!$F$8:$F$95")&gt;INDIRECT("'MIPRODE_"&amp;$B13&amp;"'!$H$8:$H$95")))+((RESULTADOS_OFICIALES!$E$6:$E$93=RESULTADOS_OFICIALES!$G$6:$G$93)*(INDIRECT("'MIPRODE_"&amp;$B13&amp;"'!$F$8:$F$95")=INDIRECT("'MIPRODE_"&amp;$B13&amp;"'!$H$8:$H$95")))+((RESULTADOS_OFICIALES!$E$6:$E$93&lt;RESULTADOS_OFICIALES!$G$6:$G$93)*(INDIRECT("'MIPRODE_"&amp;$B13&amp;"'!$F$8:$F$95")&lt;INDIRECT("'MIPRODE_"&amp;$B13&amp;"'!$H$8:$H$95")))))</f>
        <v>14</v>
      </c>
      <c r="H13">
        <v>12</v>
      </c>
      <c r="I13" t="e">
        <f t="shared" ca="1" si="0"/>
        <v>#NUM!</v>
      </c>
      <c r="J13">
        <f t="shared" ca="1" si="1"/>
        <v>31</v>
      </c>
      <c r="K13" t="e">
        <f t="shared" ca="1" si="2"/>
        <v>#NUM!</v>
      </c>
      <c r="L13" t="e">
        <f t="shared" ca="1" si="3"/>
        <v>#NUM!</v>
      </c>
    </row>
    <row r="14" spans="1:12" x14ac:dyDescent="0.25">
      <c r="A14" s="2">
        <f ca="1">1+SUMPRODUCT(--((($D$2:$D$18&gt;D14)+(($D$2:$D$18=D14)*($E$2:$E$18&gt;E14))+(($D$2:$D$18=D14)*($E$2:$E$18=E14)*($F$2:$F$18&gt;F14)))&gt;0))</f>
        <v>13</v>
      </c>
      <c r="B14" s="3" t="s">
        <v>26</v>
      </c>
      <c r="C14" s="3" t="str">
        <f>MIPRODE_Yesica!E2</f>
        <v>Yesica</v>
      </c>
      <c r="D14" s="2">
        <f ca="1">2*F14+E14</f>
        <v>30</v>
      </c>
      <c r="E14" s="2">
        <f ca="1">SUMPRODUCT((RESULTADOS_OFICIALES!$A$6:$A$93&lt;&gt;"")*(RESULTADOS_OFICIALES!$E$6:$E$93&lt;&gt;"")*(RESULTADOS_OFICIALES!$G$6:$G$93&lt;&gt;"")*(INDIRECT("'MIPRODE_"&amp;$B14&amp;"'!$F$8:$F$95")&lt;&gt;"")*(INDIRECT("'MIPRODE_"&amp;$B14&amp;"'!$H$8:$H$95")&lt;&gt;"")*(INDIRECT("'MIPRODE_"&amp;$B14&amp;"'!$F$8:$F$95")=RESULTADOS_OFICIALES!$E$6:$E$93)*(INDIRECT("'MIPRODE_"&amp;$B14&amp;"'!$H$8:$H$95")=RESULTADOS_OFICIALES!$G$6:$G$93))</f>
        <v>0</v>
      </c>
      <c r="F14" s="2">
        <f ca="1">SUMPRODUCT((RESULTADOS_OFICIALES!$A$6:$A$93&lt;&gt;"")*(RESULTADOS_OFICIALES!$E$6:$E$93&lt;&gt;"")*(RESULTADOS_OFICIALES!$G$6:$G$93&lt;&gt;"")*(INDIRECT("'MIPRODE_"&amp;$B14&amp;"'!$F$8:$F$95")&lt;&gt;"")*(INDIRECT("'MIPRODE_"&amp;$B14&amp;"'!$H$8:$H$95")&lt;&gt;"")*(((RESULTADOS_OFICIALES!$E$6:$E$93&gt;RESULTADOS_OFICIALES!$G$6:$G$93)*(INDIRECT("'MIPRODE_"&amp;$B14&amp;"'!$F$8:$F$95")&gt;INDIRECT("'MIPRODE_"&amp;$B14&amp;"'!$H$8:$H$95")))+((RESULTADOS_OFICIALES!$E$6:$E$93=RESULTADOS_OFICIALES!$G$6:$G$93)*(INDIRECT("'MIPRODE_"&amp;$B14&amp;"'!$F$8:$F$95")=INDIRECT("'MIPRODE_"&amp;$B14&amp;"'!$H$8:$H$95")))+((RESULTADOS_OFICIALES!$E$6:$E$93&lt;RESULTADOS_OFICIALES!$G$6:$G$93)*(INDIRECT("'MIPRODE_"&amp;$B14&amp;"'!$F$8:$F$95")&lt;INDIRECT("'MIPRODE_"&amp;$B14&amp;"'!$H$8:$H$95")))))</f>
        <v>15</v>
      </c>
      <c r="H14">
        <v>13</v>
      </c>
      <c r="I14" t="e">
        <f t="shared" ca="1" si="0"/>
        <v>#NUM!</v>
      </c>
      <c r="J14">
        <f t="shared" ca="1" si="1"/>
        <v>30</v>
      </c>
      <c r="K14" t="e">
        <f t="shared" ca="1" si="2"/>
        <v>#NUM!</v>
      </c>
      <c r="L14" t="e">
        <f t="shared" ca="1" si="3"/>
        <v>#NUM!</v>
      </c>
    </row>
    <row r="15" spans="1:12" x14ac:dyDescent="0.25">
      <c r="A15" s="2">
        <f ca="1">1+SUMPRODUCT(--((($D$2:$D$18&gt;D15)+(($D$2:$D$18=D15)*($E$2:$E$18&gt;E15))+(($D$2:$D$18=D15)*($E$2:$E$18=E15)*($F$2:$F$18&gt;F15)))&gt;0))</f>
        <v>14</v>
      </c>
      <c r="B15" s="3" t="s">
        <v>12</v>
      </c>
      <c r="C15" s="3" t="str">
        <f>MIPRODE_Ruben!E2</f>
        <v>Ruben</v>
      </c>
      <c r="D15" s="2">
        <f ca="1">2*F15+E15</f>
        <v>29</v>
      </c>
      <c r="E15" s="2">
        <f ca="1">SUMPRODUCT((RESULTADOS_OFICIALES!$A$6:$A$93&lt;&gt;"")*(RESULTADOS_OFICIALES!$E$6:$E$93&lt;&gt;"")*(RESULTADOS_OFICIALES!$G$6:$G$93&lt;&gt;"")*(INDIRECT("'MIPRODE_"&amp;$B15&amp;"'!$F$8:$F$95")&lt;&gt;"")*(INDIRECT("'MIPRODE_"&amp;$B15&amp;"'!$H$8:$H$95")&lt;&gt;"")*(INDIRECT("'MIPRODE_"&amp;$B15&amp;"'!$F$8:$F$95")=RESULTADOS_OFICIALES!$E$6:$E$93)*(INDIRECT("'MIPRODE_"&amp;$B15&amp;"'!$H$8:$H$95")=RESULTADOS_OFICIALES!$G$6:$G$93))</f>
        <v>3</v>
      </c>
      <c r="F15" s="2">
        <f ca="1">SUMPRODUCT((RESULTADOS_OFICIALES!$A$6:$A$93&lt;&gt;"")*(RESULTADOS_OFICIALES!$E$6:$E$93&lt;&gt;"")*(RESULTADOS_OFICIALES!$G$6:$G$93&lt;&gt;"")*(INDIRECT("'MIPRODE_"&amp;$B15&amp;"'!$F$8:$F$95")&lt;&gt;"")*(INDIRECT("'MIPRODE_"&amp;$B15&amp;"'!$H$8:$H$95")&lt;&gt;"")*(((RESULTADOS_OFICIALES!$E$6:$E$93&gt;RESULTADOS_OFICIALES!$G$6:$G$93)*(INDIRECT("'MIPRODE_"&amp;$B15&amp;"'!$F$8:$F$95")&gt;INDIRECT("'MIPRODE_"&amp;$B15&amp;"'!$H$8:$H$95")))+((RESULTADOS_OFICIALES!$E$6:$E$93=RESULTADOS_OFICIALES!$G$6:$G$93)*(INDIRECT("'MIPRODE_"&amp;$B15&amp;"'!$F$8:$F$95")=INDIRECT("'MIPRODE_"&amp;$B15&amp;"'!$H$8:$H$95")))+((RESULTADOS_OFICIALES!$E$6:$E$93&lt;RESULTADOS_OFICIALES!$G$6:$G$93)*(INDIRECT("'MIPRODE_"&amp;$B15&amp;"'!$F$8:$F$95")&lt;INDIRECT("'MIPRODE_"&amp;$B15&amp;"'!$H$8:$H$95")))))</f>
        <v>13</v>
      </c>
      <c r="H15">
        <v>14</v>
      </c>
      <c r="I15" t="e">
        <f t="shared" ca="1" si="0"/>
        <v>#NUM!</v>
      </c>
      <c r="J15">
        <f t="shared" ca="1" si="1"/>
        <v>29</v>
      </c>
      <c r="K15" t="e">
        <f t="shared" ca="1" si="2"/>
        <v>#NUM!</v>
      </c>
      <c r="L15" t="e">
        <f t="shared" ca="1" si="3"/>
        <v>#NUM!</v>
      </c>
    </row>
    <row r="16" spans="1:12" x14ac:dyDescent="0.25">
      <c r="A16" s="2">
        <f ca="1">1+SUMPRODUCT(--((($D$2:$D$18&gt;D16)+(($D$2:$D$18=D16)*($E$2:$E$18&gt;E16))+(($D$2:$D$18=D16)*($E$2:$E$18=E16)*($F$2:$F$18&gt;F16)))&gt;0))</f>
        <v>15</v>
      </c>
      <c r="B16" s="3" t="s">
        <v>19</v>
      </c>
      <c r="C16" s="3" t="str">
        <f>MIPRODE_Claudia!E2</f>
        <v>Claudia</v>
      </c>
      <c r="D16" s="2">
        <f ca="1">2*F16+E16</f>
        <v>17</v>
      </c>
      <c r="E16" s="2">
        <f ca="1">SUMPRODUCT((RESULTADOS_OFICIALES!$A$6:$A$93&lt;&gt;"")*(RESULTADOS_OFICIALES!$E$6:$E$93&lt;&gt;"")*(RESULTADOS_OFICIALES!$G$6:$G$93&lt;&gt;"")*(INDIRECT("'MIPRODE_"&amp;$B16&amp;"'!$F$8:$F$95")&lt;&gt;"")*(INDIRECT("'MIPRODE_"&amp;$B16&amp;"'!$H$8:$H$95")&lt;&gt;"")*(INDIRECT("'MIPRODE_"&amp;$B16&amp;"'!$F$8:$F$95")=RESULTADOS_OFICIALES!$E$6:$E$93)*(INDIRECT("'MIPRODE_"&amp;$B16&amp;"'!$H$8:$H$95")=RESULTADOS_OFICIALES!$G$6:$G$93))</f>
        <v>1</v>
      </c>
      <c r="F16" s="2">
        <f ca="1">SUMPRODUCT((RESULTADOS_OFICIALES!$A$6:$A$93&lt;&gt;"")*(RESULTADOS_OFICIALES!$E$6:$E$93&lt;&gt;"")*(RESULTADOS_OFICIALES!$G$6:$G$93&lt;&gt;"")*(INDIRECT("'MIPRODE_"&amp;$B16&amp;"'!$F$8:$F$95")&lt;&gt;"")*(INDIRECT("'MIPRODE_"&amp;$B16&amp;"'!$H$8:$H$95")&lt;&gt;"")*(((RESULTADOS_OFICIALES!$E$6:$E$93&gt;RESULTADOS_OFICIALES!$G$6:$G$93)*(INDIRECT("'MIPRODE_"&amp;$B16&amp;"'!$F$8:$F$95")&gt;INDIRECT("'MIPRODE_"&amp;$B16&amp;"'!$H$8:$H$95")))+((RESULTADOS_OFICIALES!$E$6:$E$93=RESULTADOS_OFICIALES!$G$6:$G$93)*(INDIRECT("'MIPRODE_"&amp;$B16&amp;"'!$F$8:$F$95")=INDIRECT("'MIPRODE_"&amp;$B16&amp;"'!$H$8:$H$95")))+((RESULTADOS_OFICIALES!$E$6:$E$93&lt;RESULTADOS_OFICIALES!$G$6:$G$93)*(INDIRECT("'MIPRODE_"&amp;$B16&amp;"'!$F$8:$F$95")&lt;INDIRECT("'MIPRODE_"&amp;$B16&amp;"'!$H$8:$H$95")))))</f>
        <v>8</v>
      </c>
      <c r="H16">
        <v>15</v>
      </c>
      <c r="I16" t="e">
        <f t="shared" ca="1" si="0"/>
        <v>#NUM!</v>
      </c>
      <c r="J16">
        <f t="shared" ca="1" si="1"/>
        <v>17</v>
      </c>
      <c r="K16" t="e">
        <f t="shared" ca="1" si="2"/>
        <v>#NUM!</v>
      </c>
      <c r="L16" t="e">
        <f t="shared" ca="1" si="3"/>
        <v>#NUM!</v>
      </c>
    </row>
    <row r="17" spans="1:12" x14ac:dyDescent="0.25">
      <c r="A17" s="2">
        <f ca="1">1+SUMPRODUCT(--((($D$2:$D$18&gt;D17)+(($D$2:$D$18=D17)*($E$2:$E$18&gt;E17))+(($D$2:$D$18=D17)*($E$2:$E$18=E17)*($F$2:$F$18&gt;F17)))&gt;0))</f>
        <v>16</v>
      </c>
      <c r="B17" s="3" t="s">
        <v>20</v>
      </c>
      <c r="C17" s="3" t="str">
        <f>MIPRODE_Fernando!E2</f>
        <v>Fernando</v>
      </c>
      <c r="D17" s="2">
        <f ca="1">2*F17+E17</f>
        <v>0</v>
      </c>
      <c r="E17" s="2">
        <f ca="1">SUMPRODUCT((RESULTADOS_OFICIALES!$A$6:$A$93&lt;&gt;"")*(RESULTADOS_OFICIALES!$E$6:$E$93&lt;&gt;"")*(RESULTADOS_OFICIALES!$G$6:$G$93&lt;&gt;"")*(INDIRECT("'MIPRODE_"&amp;$B17&amp;"'!$F$8:$F$95")&lt;&gt;"")*(INDIRECT("'MIPRODE_"&amp;$B17&amp;"'!$H$8:$H$95")&lt;&gt;"")*(INDIRECT("'MIPRODE_"&amp;$B17&amp;"'!$F$8:$F$95")=RESULTADOS_OFICIALES!$E$6:$E$93)*(INDIRECT("'MIPRODE_"&amp;$B17&amp;"'!$H$8:$H$95")=RESULTADOS_OFICIALES!$G$6:$G$93))</f>
        <v>0</v>
      </c>
      <c r="F17" s="2">
        <f ca="1">SUMPRODUCT((RESULTADOS_OFICIALES!$A$6:$A$93&lt;&gt;"")*(RESULTADOS_OFICIALES!$E$6:$E$93&lt;&gt;"")*(RESULTADOS_OFICIALES!$G$6:$G$93&lt;&gt;"")*(INDIRECT("'MIPRODE_"&amp;$B17&amp;"'!$F$8:$F$95")&lt;&gt;"")*(INDIRECT("'MIPRODE_"&amp;$B17&amp;"'!$H$8:$H$95")&lt;&gt;"")*(((RESULTADOS_OFICIALES!$E$6:$E$93&gt;RESULTADOS_OFICIALES!$G$6:$G$93)*(INDIRECT("'MIPRODE_"&amp;$B17&amp;"'!$F$8:$F$95")&gt;INDIRECT("'MIPRODE_"&amp;$B17&amp;"'!$H$8:$H$95")))+((RESULTADOS_OFICIALES!$E$6:$E$93=RESULTADOS_OFICIALES!$G$6:$G$93)*(INDIRECT("'MIPRODE_"&amp;$B17&amp;"'!$F$8:$F$95")=INDIRECT("'MIPRODE_"&amp;$B17&amp;"'!$H$8:$H$95")))+((RESULTADOS_OFICIALES!$E$6:$E$93&lt;RESULTADOS_OFICIALES!$G$6:$G$93)*(INDIRECT("'MIPRODE_"&amp;$B17&amp;"'!$F$8:$F$95")&lt;INDIRECT("'MIPRODE_"&amp;$B17&amp;"'!$H$8:$H$95")))))</f>
        <v>0</v>
      </c>
      <c r="H17">
        <v>16</v>
      </c>
      <c r="I17" t="e">
        <f t="shared" ca="1" si="0"/>
        <v>#NUM!</v>
      </c>
      <c r="J17">
        <f t="shared" ca="1" si="1"/>
        <v>0</v>
      </c>
      <c r="K17" t="e">
        <f t="shared" ca="1" si="2"/>
        <v>#NUM!</v>
      </c>
      <c r="L17" t="e">
        <f t="shared" ca="1" si="3"/>
        <v>#NUM!</v>
      </c>
    </row>
    <row r="18" spans="1:12" x14ac:dyDescent="0.25">
      <c r="A18" s="2">
        <f ca="1">1+SUMPRODUCT(--((($D$2:$D$18&gt;D18)+(($D$2:$D$18=D18)*($E$2:$E$18&gt;E18))+(($D$2:$D$18=D18)*($E$2:$E$18=E18)*($F$2:$F$18&gt;F18)))&gt;0))</f>
        <v>16</v>
      </c>
      <c r="B18" s="3" t="s">
        <v>24</v>
      </c>
      <c r="C18" s="3" t="str">
        <f>MIPRODE_Samanta!E2</f>
        <v>Samanta</v>
      </c>
      <c r="D18" s="2">
        <f ca="1">2*F18+E18</f>
        <v>0</v>
      </c>
      <c r="E18" s="2">
        <f ca="1">SUMPRODUCT((RESULTADOS_OFICIALES!$A$6:$A$93&lt;&gt;"")*(RESULTADOS_OFICIALES!$E$6:$E$93&lt;&gt;"")*(RESULTADOS_OFICIALES!$G$6:$G$93&lt;&gt;"")*(INDIRECT("'MIPRODE_"&amp;$B18&amp;"'!$F$8:$F$95")&lt;&gt;"")*(INDIRECT("'MIPRODE_"&amp;$B18&amp;"'!$H$8:$H$95")&lt;&gt;"")*(INDIRECT("'MIPRODE_"&amp;$B18&amp;"'!$F$8:$F$95")=RESULTADOS_OFICIALES!$E$6:$E$93)*(INDIRECT("'MIPRODE_"&amp;$B18&amp;"'!$H$8:$H$95")=RESULTADOS_OFICIALES!$G$6:$G$93))</f>
        <v>0</v>
      </c>
      <c r="F18" s="2">
        <f ca="1">SUMPRODUCT((RESULTADOS_OFICIALES!$A$6:$A$93&lt;&gt;"")*(RESULTADOS_OFICIALES!$E$6:$E$93&lt;&gt;"")*(RESULTADOS_OFICIALES!$G$6:$G$93&lt;&gt;"")*(INDIRECT("'MIPRODE_"&amp;$B18&amp;"'!$F$8:$F$95")&lt;&gt;"")*(INDIRECT("'MIPRODE_"&amp;$B18&amp;"'!$H$8:$H$95")&lt;&gt;"")*(((RESULTADOS_OFICIALES!$E$6:$E$93&gt;RESULTADOS_OFICIALES!$G$6:$G$93)*(INDIRECT("'MIPRODE_"&amp;$B18&amp;"'!$F$8:$F$95")&gt;INDIRECT("'MIPRODE_"&amp;$B18&amp;"'!$H$8:$H$95")))+((RESULTADOS_OFICIALES!$E$6:$E$93=RESULTADOS_OFICIALES!$G$6:$G$93)*(INDIRECT("'MIPRODE_"&amp;$B18&amp;"'!$F$8:$F$95")=INDIRECT("'MIPRODE_"&amp;$B18&amp;"'!$H$8:$H$95")))+((RESULTADOS_OFICIALES!$E$6:$E$93&lt;RESULTADOS_OFICIALES!$G$6:$G$93)*(INDIRECT("'MIPRODE_"&amp;$B18&amp;"'!$F$8:$F$95")&lt;INDIRECT("'MIPRODE_"&amp;$B18&amp;"'!$H$8:$H$95")))))</f>
        <v>0</v>
      </c>
      <c r="H18">
        <v>17</v>
      </c>
      <c r="I18" t="e">
        <f t="shared" ca="1" si="0"/>
        <v>#NUM!</v>
      </c>
      <c r="J18">
        <f t="shared" ca="1" si="1"/>
        <v>0</v>
      </c>
      <c r="K18" t="e">
        <f t="shared" ca="1" si="2"/>
        <v>#NUM!</v>
      </c>
      <c r="L18" t="e">
        <f t="shared" ca="1" si="3"/>
        <v>#NUM!</v>
      </c>
    </row>
  </sheetData>
  <autoFilter ref="A1:F18" xr:uid="{00000000-0009-0000-0000-000000000000}">
    <sortState xmlns:xlrd2="http://schemas.microsoft.com/office/spreadsheetml/2017/richdata2" ref="A2:F18">
      <sortCondition ref="A1:A18"/>
    </sortState>
  </autoFilter>
  <sortState xmlns:xlrd2="http://schemas.microsoft.com/office/spreadsheetml/2017/richdata2" ref="A2:F18">
    <sortCondition descending="1" ref="D2"/>
    <sortCondition descending="1" ref="E2"/>
    <sortCondition descending="1" ref="F2"/>
  </sortState>
  <pageMargins left="0.75" right="0.75" top="1" bottom="1" header="0.511811023622047" footer="0.511811023622047"/>
  <pageSetup paperSize="9" orientation="portrait" horizontalDpi="300" verticalDpi="30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K1000"/>
  <sheetViews>
    <sheetView showGridLines="0" tabSelected="1" zoomScaleNormal="100" workbookViewId="0">
      <pane ySplit="4" topLeftCell="A46" activePane="bottomLeft" state="frozen"/>
      <selection pane="bottomLeft" activeCell="F51" sqref="F51"/>
    </sheetView>
  </sheetViews>
  <sheetFormatPr defaultColWidth="14.42578125" defaultRowHeight="15" x14ac:dyDescent="0.25"/>
  <cols>
    <col min="1" max="1" width="5" customWidth="1"/>
    <col min="2" max="2" width="13" customWidth="1"/>
    <col min="3" max="3" width="7" customWidth="1"/>
    <col min="4" max="4" width="22" customWidth="1"/>
    <col min="5" max="5" width="8" customWidth="1"/>
    <col min="6" max="6" width="4" customWidth="1"/>
    <col min="7" max="7" width="8" customWidth="1"/>
    <col min="8" max="8" width="22" customWidth="1"/>
    <col min="9" max="9" width="10" customWidth="1"/>
    <col min="10" max="10" width="8" customWidth="1"/>
    <col min="11" max="11" width="22" customWidth="1"/>
    <col min="12" max="26" width="8.7109375" customWidth="1"/>
  </cols>
  <sheetData>
    <row r="1" spans="1:11" ht="39.75" customHeight="1" x14ac:dyDescent="0.25">
      <c r="A1" s="103" t="s">
        <v>27</v>
      </c>
      <c r="B1" s="102"/>
      <c r="C1" s="102"/>
      <c r="D1" s="102"/>
      <c r="E1" s="102"/>
      <c r="F1" s="102"/>
      <c r="G1" s="102"/>
      <c r="H1" s="102"/>
      <c r="I1" s="102"/>
      <c r="J1" s="102"/>
      <c r="K1" s="102"/>
    </row>
    <row r="2" spans="1:11" ht="19.5" customHeight="1" x14ac:dyDescent="0.25">
      <c r="A2" s="104" t="s">
        <v>28</v>
      </c>
      <c r="B2" s="102"/>
      <c r="C2" s="102"/>
      <c r="D2" s="102"/>
      <c r="E2" s="102"/>
      <c r="F2" s="102"/>
      <c r="G2" s="102"/>
      <c r="H2" s="102"/>
      <c r="I2" s="102"/>
      <c r="J2" s="102"/>
      <c r="K2" s="102"/>
    </row>
    <row r="3" spans="1:11" ht="6" customHeight="1" x14ac:dyDescent="0.25">
      <c r="A3" s="4"/>
      <c r="B3" s="4"/>
      <c r="C3" s="4"/>
      <c r="D3" s="4"/>
      <c r="E3" s="4"/>
      <c r="F3" s="4"/>
      <c r="G3" s="4"/>
      <c r="H3" s="4"/>
      <c r="I3" s="4"/>
      <c r="J3" s="4"/>
      <c r="K3" s="4"/>
    </row>
    <row r="4" spans="1:11" ht="21.75" customHeight="1" x14ac:dyDescent="0.25">
      <c r="A4" s="5" t="s">
        <v>29</v>
      </c>
      <c r="B4" s="5" t="s">
        <v>30</v>
      </c>
      <c r="C4" s="5" t="s">
        <v>31</v>
      </c>
      <c r="D4" s="5" t="s">
        <v>32</v>
      </c>
      <c r="E4" s="5" t="s">
        <v>33</v>
      </c>
      <c r="F4" s="5" t="s">
        <v>34</v>
      </c>
      <c r="G4" s="5" t="s">
        <v>35</v>
      </c>
      <c r="H4" s="5" t="s">
        <v>36</v>
      </c>
      <c r="I4" s="5" t="s">
        <v>37</v>
      </c>
      <c r="J4" s="5" t="s">
        <v>38</v>
      </c>
      <c r="K4" s="5" t="s">
        <v>39</v>
      </c>
    </row>
    <row r="5" spans="1:11" ht="15" customHeight="1" x14ac:dyDescent="0.25">
      <c r="A5" s="101" t="s">
        <v>40</v>
      </c>
      <c r="B5" s="102"/>
      <c r="C5" s="102"/>
      <c r="D5" s="102"/>
      <c r="E5" s="102"/>
      <c r="F5" s="102"/>
      <c r="G5" s="102"/>
      <c r="H5" s="102"/>
      <c r="I5" s="102"/>
      <c r="J5" s="102"/>
      <c r="K5" s="102"/>
    </row>
    <row r="6" spans="1:11" ht="19.5" customHeight="1" x14ac:dyDescent="0.25">
      <c r="A6" s="6">
        <v>1</v>
      </c>
      <c r="B6" s="7" t="s">
        <v>41</v>
      </c>
      <c r="C6" s="8" t="s">
        <v>42</v>
      </c>
      <c r="D6" s="9" t="s">
        <v>43</v>
      </c>
      <c r="E6" s="10">
        <v>2</v>
      </c>
      <c r="F6" s="11" t="s">
        <v>34</v>
      </c>
      <c r="G6" s="10">
        <v>0</v>
      </c>
      <c r="H6" s="12" t="s">
        <v>44</v>
      </c>
      <c r="I6" s="13" t="str">
        <f>IF(AND(E6="",G6=""),"—",IF(E6&gt;G6,"1",IF(E6=G6,"X","2")))</f>
        <v>1</v>
      </c>
      <c r="J6" s="14" t="str">
        <f>IF(AND(E6="",G6=""),"Pendiente","✔ Jugado")</f>
        <v>✔ Jugado</v>
      </c>
      <c r="K6" s="15" t="s">
        <v>45</v>
      </c>
    </row>
    <row r="7" spans="1:11" ht="19.5" customHeight="1" x14ac:dyDescent="0.25">
      <c r="A7" s="6">
        <v>2</v>
      </c>
      <c r="B7" s="7" t="s">
        <v>41</v>
      </c>
      <c r="C7" s="8" t="s">
        <v>42</v>
      </c>
      <c r="D7" s="9" t="s">
        <v>46</v>
      </c>
      <c r="E7" s="10">
        <v>2</v>
      </c>
      <c r="F7" s="11" t="s">
        <v>34</v>
      </c>
      <c r="G7" s="10">
        <v>1</v>
      </c>
      <c r="H7" s="12" t="s">
        <v>47</v>
      </c>
      <c r="I7" s="13" t="str">
        <f>IF(AND(E7="",G7=""),"—",IF(E7&gt;G7,"1",IF(E7=G7,"X","2")))</f>
        <v>1</v>
      </c>
      <c r="J7" s="14" t="str">
        <f>IF(AND(E7="",G7=""),"Pendiente","✔ Jugado")</f>
        <v>✔ Jugado</v>
      </c>
      <c r="K7" s="15" t="s">
        <v>48</v>
      </c>
    </row>
    <row r="8" spans="1:11" ht="15" customHeight="1" x14ac:dyDescent="0.25">
      <c r="A8" s="101" t="s">
        <v>49</v>
      </c>
      <c r="B8" s="102"/>
      <c r="C8" s="102"/>
      <c r="D8" s="102"/>
      <c r="E8" s="102"/>
      <c r="F8" s="102"/>
      <c r="G8" s="102"/>
      <c r="H8" s="102"/>
      <c r="I8" s="102"/>
      <c r="J8" s="102"/>
      <c r="K8" s="102"/>
    </row>
    <row r="9" spans="1:11" ht="19.5" customHeight="1" x14ac:dyDescent="0.25">
      <c r="A9" s="16">
        <v>3</v>
      </c>
      <c r="B9" s="7" t="s">
        <v>50</v>
      </c>
      <c r="C9" s="17" t="s">
        <v>51</v>
      </c>
      <c r="D9" s="18" t="s">
        <v>52</v>
      </c>
      <c r="E9" s="10">
        <v>1</v>
      </c>
      <c r="F9" s="11" t="s">
        <v>34</v>
      </c>
      <c r="G9" s="10">
        <v>1</v>
      </c>
      <c r="H9" s="19" t="s">
        <v>53</v>
      </c>
      <c r="I9" s="13" t="str">
        <f>IF(AND(E9="",G9=""),"—",IF(E9&gt;G9,"1",IF(E9=G9,"X","2")))</f>
        <v>X</v>
      </c>
      <c r="J9" s="14" t="str">
        <f>IF(AND(E9="",G9=""),"Pendiente","✔ Jugado")</f>
        <v>✔ Jugado</v>
      </c>
      <c r="K9" s="15" t="s">
        <v>54</v>
      </c>
    </row>
    <row r="10" spans="1:11" ht="19.5" customHeight="1" x14ac:dyDescent="0.25">
      <c r="A10" s="20">
        <v>4</v>
      </c>
      <c r="B10" s="7" t="s">
        <v>50</v>
      </c>
      <c r="C10" s="21" t="s">
        <v>55</v>
      </c>
      <c r="D10" s="22" t="s">
        <v>56</v>
      </c>
      <c r="E10" s="10">
        <v>4</v>
      </c>
      <c r="F10" s="11" t="s">
        <v>34</v>
      </c>
      <c r="G10" s="10">
        <v>1</v>
      </c>
      <c r="H10" s="23" t="s">
        <v>57</v>
      </c>
      <c r="I10" s="13" t="str">
        <f>IF(AND(E10="",G10=""),"—",IF(E10&gt;G10,"1",IF(E10=G10,"X","2")))</f>
        <v>1</v>
      </c>
      <c r="J10" s="14" t="str">
        <f>IF(AND(E10="",G10=""),"Pendiente","✔ Jugado")</f>
        <v>✔ Jugado</v>
      </c>
      <c r="K10" s="15" t="s">
        <v>58</v>
      </c>
    </row>
    <row r="11" spans="1:11" ht="15" customHeight="1" x14ac:dyDescent="0.25">
      <c r="A11" s="101" t="s">
        <v>59</v>
      </c>
      <c r="B11" s="102"/>
      <c r="C11" s="102"/>
      <c r="D11" s="102"/>
      <c r="E11" s="102"/>
      <c r="F11" s="102"/>
      <c r="G11" s="102"/>
      <c r="H11" s="102"/>
      <c r="I11" s="102"/>
      <c r="J11" s="102"/>
      <c r="K11" s="102"/>
    </row>
    <row r="12" spans="1:11" ht="19.5" customHeight="1" x14ac:dyDescent="0.25">
      <c r="A12" s="24">
        <v>5</v>
      </c>
      <c r="B12" s="7" t="s">
        <v>60</v>
      </c>
      <c r="C12" s="25" t="s">
        <v>61</v>
      </c>
      <c r="D12" s="26" t="s">
        <v>62</v>
      </c>
      <c r="E12" s="10">
        <v>0</v>
      </c>
      <c r="F12" s="11" t="s">
        <v>34</v>
      </c>
      <c r="G12" s="10">
        <v>1</v>
      </c>
      <c r="H12" s="27" t="s">
        <v>63</v>
      </c>
      <c r="I12" s="13" t="str">
        <f>IF(AND(E12="",G12=""),"—",IF(E12&gt;G12,"1",IF(E12=G12,"X","2")))</f>
        <v>2</v>
      </c>
      <c r="J12" s="14" t="str">
        <f>IF(AND(E12="",G12=""),"Pendiente","✔ Jugado")</f>
        <v>✔ Jugado</v>
      </c>
      <c r="K12" s="15" t="s">
        <v>64</v>
      </c>
    </row>
    <row r="13" spans="1:11" ht="19.5" customHeight="1" x14ac:dyDescent="0.25">
      <c r="A13" s="24">
        <v>6</v>
      </c>
      <c r="B13" s="7" t="s">
        <v>60</v>
      </c>
      <c r="C13" s="25" t="s">
        <v>61</v>
      </c>
      <c r="D13" s="26" t="s">
        <v>65</v>
      </c>
      <c r="E13" s="10">
        <v>1</v>
      </c>
      <c r="F13" s="11" t="s">
        <v>34</v>
      </c>
      <c r="G13" s="10">
        <v>1</v>
      </c>
      <c r="H13" s="27" t="s">
        <v>66</v>
      </c>
      <c r="I13" s="13" t="str">
        <f>IF(AND(E13="",G13=""),"—",IF(E13&gt;G13,"1",IF(E13=G13,"X","2")))</f>
        <v>X</v>
      </c>
      <c r="J13" s="14" t="str">
        <f>IF(AND(E13="",G13=""),"Pendiente","✔ Jugado")</f>
        <v>✔ Jugado</v>
      </c>
      <c r="K13" s="15" t="s">
        <v>67</v>
      </c>
    </row>
    <row r="14" spans="1:11" ht="19.5" customHeight="1" x14ac:dyDescent="0.25">
      <c r="A14" s="16">
        <v>7</v>
      </c>
      <c r="B14" s="7" t="s">
        <v>60</v>
      </c>
      <c r="C14" s="17" t="s">
        <v>51</v>
      </c>
      <c r="D14" s="18" t="s">
        <v>68</v>
      </c>
      <c r="E14" s="10">
        <v>1</v>
      </c>
      <c r="F14" s="11" t="s">
        <v>34</v>
      </c>
      <c r="G14" s="10">
        <v>1</v>
      </c>
      <c r="H14" s="19" t="s">
        <v>69</v>
      </c>
      <c r="I14" s="13" t="str">
        <f>IF(AND(E14="",G14=""),"—",IF(E14&gt;G14,"1",IF(E14=G14,"X","2")))</f>
        <v>X</v>
      </c>
      <c r="J14" s="14" t="str">
        <f>IF(AND(E14="",G14=""),"Pendiente","✔ Jugado")</f>
        <v>✔ Jugado</v>
      </c>
      <c r="K14" s="15" t="s">
        <v>70</v>
      </c>
    </row>
    <row r="15" spans="1:11" ht="15" customHeight="1" x14ac:dyDescent="0.25">
      <c r="A15" s="101" t="s">
        <v>71</v>
      </c>
      <c r="B15" s="102"/>
      <c r="C15" s="102"/>
      <c r="D15" s="102"/>
      <c r="E15" s="102"/>
      <c r="F15" s="102"/>
      <c r="G15" s="102"/>
      <c r="H15" s="102"/>
      <c r="I15" s="102"/>
      <c r="J15" s="102"/>
      <c r="K15" s="102"/>
    </row>
    <row r="16" spans="1:11" ht="19.5" customHeight="1" x14ac:dyDescent="0.25">
      <c r="A16" s="20">
        <v>8</v>
      </c>
      <c r="B16" s="7" t="s">
        <v>72</v>
      </c>
      <c r="C16" s="21" t="s">
        <v>55</v>
      </c>
      <c r="D16" s="22" t="s">
        <v>73</v>
      </c>
      <c r="E16" s="10">
        <v>2</v>
      </c>
      <c r="F16" s="11" t="s">
        <v>34</v>
      </c>
      <c r="G16" s="10">
        <v>0</v>
      </c>
      <c r="H16" s="23" t="s">
        <v>74</v>
      </c>
      <c r="I16" s="13" t="str">
        <f>IF(AND(E16="",G16=""),"—",IF(E16&gt;G16,"1",IF(E16=G16,"X","2")))</f>
        <v>1</v>
      </c>
      <c r="J16" s="14" t="str">
        <f>IF(AND(E16="",G16=""),"Pendiente","✔ Jugado")</f>
        <v>✔ Jugado</v>
      </c>
      <c r="K16" s="15" t="s">
        <v>75</v>
      </c>
    </row>
    <row r="17" spans="1:11" ht="19.5" customHeight="1" x14ac:dyDescent="0.25">
      <c r="A17" s="28">
        <v>9</v>
      </c>
      <c r="B17" s="7" t="s">
        <v>72</v>
      </c>
      <c r="C17" s="29" t="s">
        <v>76</v>
      </c>
      <c r="D17" s="30" t="s">
        <v>77</v>
      </c>
      <c r="E17" s="10">
        <v>7</v>
      </c>
      <c r="F17" s="11" t="s">
        <v>34</v>
      </c>
      <c r="G17" s="10">
        <v>1</v>
      </c>
      <c r="H17" s="31" t="s">
        <v>78</v>
      </c>
      <c r="I17" s="13" t="str">
        <f>IF(AND(E17="",G17=""),"—",IF(E17&gt;G17,"1",IF(E17=G17,"X","2")))</f>
        <v>1</v>
      </c>
      <c r="J17" s="14" t="str">
        <f>IF(AND(E17="",G17=""),"Pendiente","✔ Jugado")</f>
        <v>✔ Jugado</v>
      </c>
      <c r="K17" s="15" t="s">
        <v>79</v>
      </c>
    </row>
    <row r="18" spans="1:11" ht="19.5" customHeight="1" x14ac:dyDescent="0.25">
      <c r="A18" s="32">
        <v>10</v>
      </c>
      <c r="B18" s="7" t="s">
        <v>72</v>
      </c>
      <c r="C18" s="33" t="s">
        <v>80</v>
      </c>
      <c r="D18" s="34" t="s">
        <v>81</v>
      </c>
      <c r="E18" s="10">
        <v>2</v>
      </c>
      <c r="F18" s="11" t="s">
        <v>34</v>
      </c>
      <c r="G18" s="10">
        <v>2</v>
      </c>
      <c r="H18" s="35" t="s">
        <v>82</v>
      </c>
      <c r="I18" s="13" t="str">
        <f>IF(AND(E18="",G18=""),"—",IF(E18&gt;G18,"1",IF(E18=G18,"X","2")))</f>
        <v>X</v>
      </c>
      <c r="J18" s="14" t="str">
        <f>IF(AND(E18="",G18=""),"Pendiente","✔ Jugado")</f>
        <v>✔ Jugado</v>
      </c>
      <c r="K18" s="15" t="s">
        <v>83</v>
      </c>
    </row>
    <row r="19" spans="1:11" ht="19.5" customHeight="1" x14ac:dyDescent="0.25">
      <c r="A19" s="28">
        <v>11</v>
      </c>
      <c r="B19" s="7" t="s">
        <v>72</v>
      </c>
      <c r="C19" s="29" t="s">
        <v>76</v>
      </c>
      <c r="D19" s="30" t="s">
        <v>84</v>
      </c>
      <c r="E19" s="10">
        <v>1</v>
      </c>
      <c r="F19" s="11" t="s">
        <v>34</v>
      </c>
      <c r="G19" s="10">
        <v>0</v>
      </c>
      <c r="H19" s="31" t="s">
        <v>85</v>
      </c>
      <c r="I19" s="13" t="str">
        <f>IF(AND(E19="",G19=""),"—",IF(E19&gt;G19,"1",IF(E19=G19,"X","2")))</f>
        <v>1</v>
      </c>
      <c r="J19" s="14" t="str">
        <f>IF(AND(E19="",G19=""),"Pendiente","✔ Jugado")</f>
        <v>✔ Jugado</v>
      </c>
      <c r="K19" s="15" t="s">
        <v>86</v>
      </c>
    </row>
    <row r="20" spans="1:11" ht="19.5" customHeight="1" x14ac:dyDescent="0.25">
      <c r="A20" s="32">
        <v>12</v>
      </c>
      <c r="B20" s="7" t="s">
        <v>72</v>
      </c>
      <c r="C20" s="33" t="s">
        <v>80</v>
      </c>
      <c r="D20" s="34" t="s">
        <v>87</v>
      </c>
      <c r="E20" s="10">
        <v>5</v>
      </c>
      <c r="F20" s="11" t="s">
        <v>34</v>
      </c>
      <c r="G20" s="10">
        <v>1</v>
      </c>
      <c r="H20" s="35" t="s">
        <v>88</v>
      </c>
      <c r="I20" s="13" t="str">
        <f>IF(AND(E20="",G20=""),"—",IF(E20&gt;G20,"1",IF(E20=G20,"X","2")))</f>
        <v>1</v>
      </c>
      <c r="J20" s="14" t="str">
        <f>IF(AND(E20="",G20=""),"Pendiente","✔ Jugado")</f>
        <v>✔ Jugado</v>
      </c>
      <c r="K20" s="15" t="s">
        <v>89</v>
      </c>
    </row>
    <row r="21" spans="1:11" ht="15" customHeight="1" x14ac:dyDescent="0.25">
      <c r="A21" s="101" t="s">
        <v>90</v>
      </c>
      <c r="B21" s="102"/>
      <c r="C21" s="102"/>
      <c r="D21" s="102"/>
      <c r="E21" s="102"/>
      <c r="F21" s="102"/>
      <c r="G21" s="102"/>
      <c r="H21" s="102"/>
      <c r="I21" s="102"/>
      <c r="J21" s="102"/>
      <c r="K21" s="102"/>
    </row>
    <row r="22" spans="1:11" ht="19.5" customHeight="1" x14ac:dyDescent="0.25">
      <c r="A22" s="36">
        <v>13</v>
      </c>
      <c r="B22" s="7" t="s">
        <v>91</v>
      </c>
      <c r="C22" s="37" t="s">
        <v>92</v>
      </c>
      <c r="D22" s="38" t="s">
        <v>93</v>
      </c>
      <c r="E22" s="10">
        <v>0</v>
      </c>
      <c r="F22" s="11" t="s">
        <v>34</v>
      </c>
      <c r="G22" s="10">
        <v>0</v>
      </c>
      <c r="H22" s="39" t="s">
        <v>94</v>
      </c>
      <c r="I22" s="13" t="str">
        <f>IF(AND(E22="",G22=""),"—",IF(E22&gt;G22,"1",IF(E22=G22,"X","2")))</f>
        <v>X</v>
      </c>
      <c r="J22" s="14" t="str">
        <f>IF(AND(E22="",G22=""),"Pendiente","✔ Jugado")</f>
        <v>✔ Jugado</v>
      </c>
      <c r="K22" s="15" t="s">
        <v>95</v>
      </c>
    </row>
    <row r="23" spans="1:11" ht="19.5" customHeight="1" x14ac:dyDescent="0.25">
      <c r="A23" s="40">
        <v>14</v>
      </c>
      <c r="B23" s="7" t="s">
        <v>91</v>
      </c>
      <c r="C23" s="41" t="s">
        <v>96</v>
      </c>
      <c r="D23" s="42" t="s">
        <v>97</v>
      </c>
      <c r="E23" s="10">
        <v>1</v>
      </c>
      <c r="F23" s="11" t="s">
        <v>34</v>
      </c>
      <c r="G23" s="10">
        <v>1</v>
      </c>
      <c r="H23" s="43" t="s">
        <v>98</v>
      </c>
      <c r="I23" s="13" t="str">
        <f>IF(AND(E23="",G23=""),"—",IF(E23&gt;G23,"1",IF(E23=G23,"X","2")))</f>
        <v>X</v>
      </c>
      <c r="J23" s="14" t="str">
        <f>IF(AND(E23="",G23=""),"Pendiente","✔ Jugado")</f>
        <v>✔ Jugado</v>
      </c>
      <c r="K23" s="15" t="s">
        <v>99</v>
      </c>
    </row>
    <row r="24" spans="1:11" ht="19.5" customHeight="1" x14ac:dyDescent="0.25">
      <c r="A24" s="36">
        <v>15</v>
      </c>
      <c r="B24" s="7" t="s">
        <v>91</v>
      </c>
      <c r="C24" s="37" t="s">
        <v>92</v>
      </c>
      <c r="D24" s="38" t="s">
        <v>100</v>
      </c>
      <c r="E24" s="10">
        <v>1</v>
      </c>
      <c r="F24" s="11" t="s">
        <v>34</v>
      </c>
      <c r="G24" s="10">
        <v>1</v>
      </c>
      <c r="H24" s="39" t="s">
        <v>101</v>
      </c>
      <c r="I24" s="13" t="str">
        <f>IF(AND(E24="",G24=""),"—",IF(E24&gt;G24,"1",IF(E24=G24,"X","2")))</f>
        <v>X</v>
      </c>
      <c r="J24" s="14" t="str">
        <f>IF(AND(E24="",G24=""),"Pendiente","✔ Jugado")</f>
        <v>✔ Jugado</v>
      </c>
      <c r="K24" s="15" t="s">
        <v>102</v>
      </c>
    </row>
    <row r="25" spans="1:11" ht="19.5" customHeight="1" x14ac:dyDescent="0.25">
      <c r="A25" s="40">
        <v>16</v>
      </c>
      <c r="B25" s="7" t="s">
        <v>91</v>
      </c>
      <c r="C25" s="41" t="s">
        <v>96</v>
      </c>
      <c r="D25" s="42" t="s">
        <v>103</v>
      </c>
      <c r="E25" s="10">
        <v>2</v>
      </c>
      <c r="F25" s="11" t="s">
        <v>34</v>
      </c>
      <c r="G25" s="10">
        <v>2</v>
      </c>
      <c r="H25" s="43" t="s">
        <v>104</v>
      </c>
      <c r="I25" s="13" t="str">
        <f>IF(AND(E25="",G25=""),"—",IF(E25&gt;G25,"1",IF(E25=G25,"X","2")))</f>
        <v>X</v>
      </c>
      <c r="J25" s="14" t="str">
        <f>IF(AND(E25="",G25=""),"Pendiente","✔ Jugado")</f>
        <v>✔ Jugado</v>
      </c>
      <c r="K25" s="15" t="s">
        <v>58</v>
      </c>
    </row>
    <row r="26" spans="1:11" ht="15" customHeight="1" x14ac:dyDescent="0.25">
      <c r="A26" s="101" t="s">
        <v>105</v>
      </c>
      <c r="B26" s="102"/>
      <c r="C26" s="102"/>
      <c r="D26" s="102"/>
      <c r="E26" s="102"/>
      <c r="F26" s="102"/>
      <c r="G26" s="102"/>
      <c r="H26" s="102"/>
      <c r="I26" s="102"/>
      <c r="J26" s="102"/>
      <c r="K26" s="102"/>
    </row>
    <row r="27" spans="1:11" ht="19.5" customHeight="1" x14ac:dyDescent="0.25">
      <c r="A27" s="44">
        <v>17</v>
      </c>
      <c r="B27" s="7" t="s">
        <v>106</v>
      </c>
      <c r="C27" s="45" t="s">
        <v>107</v>
      </c>
      <c r="D27" s="46" t="s">
        <v>108</v>
      </c>
      <c r="E27" s="10">
        <v>3</v>
      </c>
      <c r="F27" s="11" t="s">
        <v>34</v>
      </c>
      <c r="G27" s="10">
        <v>1</v>
      </c>
      <c r="H27" s="47" t="s">
        <v>109</v>
      </c>
      <c r="I27" s="13" t="str">
        <f>IF(AND(E27="",G27=""),"—",IF(E27&gt;G27,"1",IF(E27=G27,"X","2")))</f>
        <v>1</v>
      </c>
      <c r="J27" s="14" t="str">
        <f>IF(AND(E27="",G27=""),"Pendiente","✔ Jugado")</f>
        <v>✔ Jugado</v>
      </c>
      <c r="K27" s="15" t="s">
        <v>67</v>
      </c>
    </row>
    <row r="28" spans="1:11" ht="19.5" customHeight="1" x14ac:dyDescent="0.25">
      <c r="A28" s="44">
        <v>18</v>
      </c>
      <c r="B28" s="7" t="s">
        <v>106</v>
      </c>
      <c r="C28" s="45" t="s">
        <v>107</v>
      </c>
      <c r="D28" s="46" t="s">
        <v>110</v>
      </c>
      <c r="E28" s="10">
        <v>1</v>
      </c>
      <c r="F28" s="11" t="s">
        <v>34</v>
      </c>
      <c r="G28" s="10">
        <v>4</v>
      </c>
      <c r="H28" s="47" t="s">
        <v>111</v>
      </c>
      <c r="I28" s="13" t="str">
        <f>IF(AND(E28="",G28=""),"—",IF(E28&gt;G28,"1",IF(E28=G28,"X","2")))</f>
        <v>2</v>
      </c>
      <c r="J28" s="14" t="str">
        <f>IF(AND(E28="",G28=""),"Pendiente","✔ Jugado")</f>
        <v>✔ Jugado</v>
      </c>
      <c r="K28" s="15" t="s">
        <v>64</v>
      </c>
    </row>
    <row r="29" spans="1:11" ht="19.5" customHeight="1" x14ac:dyDescent="0.25">
      <c r="A29" s="48">
        <v>19</v>
      </c>
      <c r="B29" s="7" t="s">
        <v>106</v>
      </c>
      <c r="C29" s="49" t="s">
        <v>112</v>
      </c>
      <c r="D29" s="50" t="s">
        <v>113</v>
      </c>
      <c r="E29" s="10">
        <v>3</v>
      </c>
      <c r="F29" s="11" t="s">
        <v>34</v>
      </c>
      <c r="G29" s="10">
        <v>0</v>
      </c>
      <c r="H29" s="51" t="s">
        <v>114</v>
      </c>
      <c r="I29" s="13" t="str">
        <f>IF(AND(E29="",G29=""),"—",IF(E29&gt;G29,"1",IF(E29=G29,"X","2")))</f>
        <v>1</v>
      </c>
      <c r="J29" s="14" t="str">
        <f>IF(AND(E29="",G29=""),"Pendiente","✔ Jugado")</f>
        <v>✔ Jugado</v>
      </c>
      <c r="K29" s="15" t="s">
        <v>115</v>
      </c>
    </row>
    <row r="30" spans="1:11" ht="15" customHeight="1" x14ac:dyDescent="0.25">
      <c r="A30" s="101" t="s">
        <v>116</v>
      </c>
      <c r="B30" s="102"/>
      <c r="C30" s="102"/>
      <c r="D30" s="102"/>
      <c r="E30" s="102"/>
      <c r="F30" s="102"/>
      <c r="G30" s="102"/>
      <c r="H30" s="102"/>
      <c r="I30" s="102"/>
      <c r="J30" s="102"/>
      <c r="K30" s="102"/>
    </row>
    <row r="31" spans="1:11" ht="19.5" customHeight="1" x14ac:dyDescent="0.25">
      <c r="A31" s="48">
        <v>20</v>
      </c>
      <c r="B31" s="7" t="s">
        <v>117</v>
      </c>
      <c r="C31" s="49" t="s">
        <v>112</v>
      </c>
      <c r="D31" s="50" t="s">
        <v>118</v>
      </c>
      <c r="E31" s="10">
        <v>3</v>
      </c>
      <c r="F31" s="11" t="s">
        <v>34</v>
      </c>
      <c r="G31" s="10">
        <v>1</v>
      </c>
      <c r="H31" s="51" t="s">
        <v>119</v>
      </c>
      <c r="I31" s="13" t="str">
        <f>IF(AND(E31="",G31=""),"—",IF(E31&gt;G31,"1",IF(E31=G31,"X","2")))</f>
        <v>1</v>
      </c>
      <c r="J31" s="14" t="str">
        <f>IF(AND(E31="",G31=""),"Pendiente","✔ Jugado")</f>
        <v>✔ Jugado</v>
      </c>
      <c r="K31" s="15" t="s">
        <v>70</v>
      </c>
    </row>
    <row r="32" spans="1:11" ht="19.5" customHeight="1" x14ac:dyDescent="0.25">
      <c r="A32" s="52">
        <v>21</v>
      </c>
      <c r="B32" s="7" t="s">
        <v>117</v>
      </c>
      <c r="C32" s="53" t="s">
        <v>120</v>
      </c>
      <c r="D32" s="54" t="s">
        <v>121</v>
      </c>
      <c r="E32" s="10">
        <v>1</v>
      </c>
      <c r="F32" s="11" t="s">
        <v>34</v>
      </c>
      <c r="G32" s="10">
        <v>1</v>
      </c>
      <c r="H32" s="55" t="s">
        <v>122</v>
      </c>
      <c r="I32" s="13" t="str">
        <f>IF(AND(E32="",G32=""),"—",IF(E32&gt;G32,"1",IF(E32=G32,"X","2")))</f>
        <v>X</v>
      </c>
      <c r="J32" s="14" t="str">
        <f>IF(AND(E32="",G32=""),"Pendiente","✔ Jugado")</f>
        <v>✔ Jugado</v>
      </c>
      <c r="K32" s="15" t="s">
        <v>79</v>
      </c>
    </row>
    <row r="33" spans="1:11" ht="19.5" customHeight="1" x14ac:dyDescent="0.25">
      <c r="A33" s="56">
        <v>22</v>
      </c>
      <c r="B33" s="7" t="s">
        <v>117</v>
      </c>
      <c r="C33" s="57" t="s">
        <v>123</v>
      </c>
      <c r="D33" s="58" t="s">
        <v>124</v>
      </c>
      <c r="E33" s="10">
        <v>4</v>
      </c>
      <c r="F33" s="11" t="s">
        <v>34</v>
      </c>
      <c r="G33" s="10">
        <v>2</v>
      </c>
      <c r="H33" s="59" t="s">
        <v>125</v>
      </c>
      <c r="I33" s="13" t="str">
        <f>IF(AND(E33="",G33=""),"—",IF(E33&gt;G33,"1",IF(E33=G33,"X","2")))</f>
        <v>1</v>
      </c>
      <c r="J33" s="14" t="str">
        <f>IF(AND(E33="",G33=""),"Pendiente","✔ Jugado")</f>
        <v>✔ Jugado</v>
      </c>
      <c r="K33" s="15" t="s">
        <v>83</v>
      </c>
    </row>
    <row r="34" spans="1:11" ht="19.5" customHeight="1" x14ac:dyDescent="0.25">
      <c r="A34" s="56">
        <v>23</v>
      </c>
      <c r="B34" s="7" t="s">
        <v>117</v>
      </c>
      <c r="C34" s="57" t="s">
        <v>123</v>
      </c>
      <c r="D34" s="58" t="s">
        <v>126</v>
      </c>
      <c r="E34" s="10">
        <v>1</v>
      </c>
      <c r="F34" s="11" t="s">
        <v>34</v>
      </c>
      <c r="G34" s="10">
        <v>0</v>
      </c>
      <c r="H34" s="59" t="s">
        <v>127</v>
      </c>
      <c r="I34" s="13" t="str">
        <f>IF(AND(E34="",G34=""),"—",IF(E34&gt;G34,"1",IF(E34=G34,"X","2")))</f>
        <v>1</v>
      </c>
      <c r="J34" s="14" t="str">
        <f>IF(AND(E34="",G34=""),"Pendiente","✔ Jugado")</f>
        <v>✔ Jugado</v>
      </c>
      <c r="K34" s="15" t="s">
        <v>54</v>
      </c>
    </row>
    <row r="35" spans="1:11" ht="19.5" customHeight="1" x14ac:dyDescent="0.25">
      <c r="A35" s="52">
        <v>24</v>
      </c>
      <c r="B35" s="7" t="s">
        <v>117</v>
      </c>
      <c r="C35" s="53" t="s">
        <v>120</v>
      </c>
      <c r="D35" s="54" t="s">
        <v>128</v>
      </c>
      <c r="E35" s="10">
        <v>1</v>
      </c>
      <c r="F35" s="11" t="s">
        <v>34</v>
      </c>
      <c r="G35" s="10">
        <v>3</v>
      </c>
      <c r="H35" s="55" t="s">
        <v>129</v>
      </c>
      <c r="I35" s="13" t="str">
        <f>IF(AND(E35="",G35=""),"—",IF(E35&gt;G35,"1",IF(E35=G35,"X","2")))</f>
        <v>2</v>
      </c>
      <c r="J35" s="14" t="str">
        <f>IF(AND(E35="",G35=""),"Pendiente","✔ Jugado")</f>
        <v>✔ Jugado</v>
      </c>
      <c r="K35" s="15" t="s">
        <v>45</v>
      </c>
    </row>
    <row r="36" spans="1:11" ht="15" customHeight="1" x14ac:dyDescent="0.25">
      <c r="A36" s="101" t="s">
        <v>130</v>
      </c>
      <c r="B36" s="102"/>
      <c r="C36" s="102"/>
      <c r="D36" s="102"/>
      <c r="E36" s="102"/>
      <c r="F36" s="102"/>
      <c r="G36" s="102"/>
      <c r="H36" s="102"/>
      <c r="I36" s="102"/>
      <c r="J36" s="102"/>
      <c r="K36" s="102"/>
    </row>
    <row r="37" spans="1:11" ht="19.5" customHeight="1" x14ac:dyDescent="0.25">
      <c r="A37" s="6">
        <v>25</v>
      </c>
      <c r="B37" s="7" t="s">
        <v>131</v>
      </c>
      <c r="C37" s="8" t="s">
        <v>42</v>
      </c>
      <c r="D37" s="9" t="s">
        <v>47</v>
      </c>
      <c r="E37" s="10">
        <v>1</v>
      </c>
      <c r="F37" s="11" t="s">
        <v>34</v>
      </c>
      <c r="G37" s="10">
        <v>1</v>
      </c>
      <c r="H37" s="12" t="s">
        <v>44</v>
      </c>
      <c r="I37" s="13" t="str">
        <f>IF(AND(E37="",G37=""),"—",IF(E37&gt;G37,"1",IF(E37=G37,"X","2")))</f>
        <v>X</v>
      </c>
      <c r="J37" s="14" t="str">
        <f>IF(AND(E37="",G37=""),"Pendiente","✔ Jugado")</f>
        <v>✔ Jugado</v>
      </c>
      <c r="K37" s="15" t="s">
        <v>95</v>
      </c>
    </row>
    <row r="38" spans="1:11" ht="19.5" customHeight="1" x14ac:dyDescent="0.25">
      <c r="A38" s="16">
        <v>26</v>
      </c>
      <c r="B38" s="7" t="s">
        <v>131</v>
      </c>
      <c r="C38" s="17" t="s">
        <v>51</v>
      </c>
      <c r="D38" s="18" t="s">
        <v>69</v>
      </c>
      <c r="E38" s="10">
        <v>4</v>
      </c>
      <c r="F38" s="11" t="s">
        <v>34</v>
      </c>
      <c r="G38" s="10">
        <v>1</v>
      </c>
      <c r="H38" s="19" t="s">
        <v>53</v>
      </c>
      <c r="I38" s="13" t="str">
        <f>IF(AND(E38="",G38=""),"—",IF(E38&gt;G38,"1",IF(E38=G38,"X","2")))</f>
        <v>1</v>
      </c>
      <c r="J38" s="14" t="str">
        <f>IF(AND(E38="",G38=""),"Pendiente","✔ Jugado")</f>
        <v>✔ Jugado</v>
      </c>
      <c r="K38" s="15" t="s">
        <v>58</v>
      </c>
    </row>
    <row r="39" spans="1:11" ht="19.5" customHeight="1" x14ac:dyDescent="0.25">
      <c r="A39" s="16">
        <v>27</v>
      </c>
      <c r="B39" s="7" t="s">
        <v>131</v>
      </c>
      <c r="C39" s="17" t="s">
        <v>51</v>
      </c>
      <c r="D39" s="18" t="s">
        <v>52</v>
      </c>
      <c r="E39" s="10">
        <v>6</v>
      </c>
      <c r="F39" s="11" t="s">
        <v>34</v>
      </c>
      <c r="G39" s="10">
        <v>0</v>
      </c>
      <c r="H39" s="19" t="s">
        <v>68</v>
      </c>
      <c r="I39" s="13" t="str">
        <f>IF(AND(E39="",G39=""),"—",IF(E39&gt;G39,"1",IF(E39=G39,"X","2")))</f>
        <v>1</v>
      </c>
      <c r="J39" s="14" t="str">
        <f>IF(AND(E39="",G39=""),"Pendiente","✔ Jugado")</f>
        <v>✔ Jugado</v>
      </c>
      <c r="K39" s="15" t="s">
        <v>75</v>
      </c>
    </row>
    <row r="40" spans="1:11" ht="19.5" customHeight="1" x14ac:dyDescent="0.25">
      <c r="A40" s="6">
        <v>28</v>
      </c>
      <c r="B40" s="7" t="s">
        <v>131</v>
      </c>
      <c r="C40" s="8" t="s">
        <v>42</v>
      </c>
      <c r="D40" s="9" t="s">
        <v>43</v>
      </c>
      <c r="E40" s="10">
        <v>1</v>
      </c>
      <c r="F40" s="11" t="s">
        <v>34</v>
      </c>
      <c r="G40" s="10">
        <v>0</v>
      </c>
      <c r="H40" s="12" t="s">
        <v>46</v>
      </c>
      <c r="I40" s="13" t="str">
        <f>IF(AND(E40="",G40=""),"—",IF(E40&gt;G40,"1",IF(E40=G40,"X","2")))</f>
        <v>1</v>
      </c>
      <c r="J40" s="14" t="str">
        <f>IF(AND(E40="",G40=""),"Pendiente","✔ Jugado")</f>
        <v>✔ Jugado</v>
      </c>
      <c r="K40" s="15" t="s">
        <v>48</v>
      </c>
    </row>
    <row r="41" spans="1:11" ht="15" customHeight="1" x14ac:dyDescent="0.25">
      <c r="A41" s="101" t="s">
        <v>132</v>
      </c>
      <c r="B41" s="102"/>
      <c r="C41" s="102"/>
      <c r="D41" s="102"/>
      <c r="E41" s="102"/>
      <c r="F41" s="102"/>
      <c r="G41" s="102"/>
      <c r="H41" s="102"/>
      <c r="I41" s="102"/>
      <c r="J41" s="102"/>
      <c r="K41" s="102"/>
    </row>
    <row r="42" spans="1:11" ht="19.5" customHeight="1" x14ac:dyDescent="0.25">
      <c r="A42" s="20">
        <v>29</v>
      </c>
      <c r="B42" s="7" t="s">
        <v>133</v>
      </c>
      <c r="C42" s="21" t="s">
        <v>55</v>
      </c>
      <c r="D42" s="22" t="s">
        <v>56</v>
      </c>
      <c r="E42" s="10">
        <v>2</v>
      </c>
      <c r="F42" s="11" t="s">
        <v>34</v>
      </c>
      <c r="G42" s="10">
        <v>0</v>
      </c>
      <c r="H42" s="23" t="s">
        <v>73</v>
      </c>
      <c r="I42" s="13" t="str">
        <f>IF(AND(E42="",G42=""),"—",IF(E42&gt;G42,"1",IF(E42=G42,"X","2")))</f>
        <v>1</v>
      </c>
      <c r="J42" s="14" t="str">
        <f>IF(AND(E42="",G42=""),"Pendiente","✔ Jugado")</f>
        <v>✔ Jugado</v>
      </c>
      <c r="K42" s="15" t="s">
        <v>99</v>
      </c>
    </row>
    <row r="43" spans="1:11" ht="19.5" customHeight="1" x14ac:dyDescent="0.25">
      <c r="A43" s="24">
        <v>30</v>
      </c>
      <c r="B43" s="7" t="s">
        <v>133</v>
      </c>
      <c r="C43" s="25" t="s">
        <v>61</v>
      </c>
      <c r="D43" s="26" t="s">
        <v>63</v>
      </c>
      <c r="E43" s="10">
        <v>0</v>
      </c>
      <c r="F43" s="11" t="s">
        <v>34</v>
      </c>
      <c r="G43" s="10">
        <v>1</v>
      </c>
      <c r="H43" s="27" t="s">
        <v>66</v>
      </c>
      <c r="I43" s="13" t="str">
        <f>IF(AND(E43="",G43=""),"—",IF(E43&gt;G43,"1",IF(E43=G43,"X","2")))</f>
        <v>2</v>
      </c>
      <c r="J43" s="14" t="str">
        <f>IF(AND(E43="",G43=""),"Pendiente","✔ Jugado")</f>
        <v>✔ Jugado</v>
      </c>
      <c r="K43" s="15" t="s">
        <v>64</v>
      </c>
    </row>
    <row r="44" spans="1:11" ht="19.5" customHeight="1" x14ac:dyDescent="0.25">
      <c r="A44" s="24">
        <v>31</v>
      </c>
      <c r="B44" s="7" t="s">
        <v>133</v>
      </c>
      <c r="C44" s="25" t="s">
        <v>61</v>
      </c>
      <c r="D44" s="26" t="s">
        <v>65</v>
      </c>
      <c r="E44" s="10">
        <v>3</v>
      </c>
      <c r="F44" s="11" t="s">
        <v>34</v>
      </c>
      <c r="G44" s="10">
        <v>0</v>
      </c>
      <c r="H44" s="27" t="s">
        <v>62</v>
      </c>
      <c r="I44" s="13" t="str">
        <f>IF(AND(E44="",G44=""),"—",IF(E44&gt;G44,"1",IF(E44=G44,"X","2")))</f>
        <v>1</v>
      </c>
      <c r="J44" s="14" t="str">
        <f>IF(AND(E44="",G44=""),"Pendiente","✔ Jugado")</f>
        <v>✔ Jugado</v>
      </c>
      <c r="K44" s="15" t="s">
        <v>86</v>
      </c>
    </row>
    <row r="45" spans="1:11" ht="19.5" customHeight="1" x14ac:dyDescent="0.25">
      <c r="A45" s="20">
        <v>32</v>
      </c>
      <c r="B45" s="7" t="s">
        <v>133</v>
      </c>
      <c r="C45" s="21" t="s">
        <v>55</v>
      </c>
      <c r="D45" s="22" t="s">
        <v>74</v>
      </c>
      <c r="E45" s="10">
        <v>0</v>
      </c>
      <c r="F45" s="11" t="s">
        <v>34</v>
      </c>
      <c r="G45" s="10">
        <v>1</v>
      </c>
      <c r="H45" s="23" t="s">
        <v>57</v>
      </c>
      <c r="I45" s="13" t="str">
        <f>IF(AND(E45="",G45=""),"—",IF(E45&gt;G45,"1",IF(E45=G45,"X","2")))</f>
        <v>2</v>
      </c>
      <c r="J45" s="14" t="str">
        <f>IF(AND(E45="",G45=""),"Pendiente","✔ Jugado")</f>
        <v>✔ Jugado</v>
      </c>
      <c r="K45" s="15" t="s">
        <v>70</v>
      </c>
    </row>
    <row r="46" spans="1:11" ht="15" customHeight="1" x14ac:dyDescent="0.25">
      <c r="A46" s="101" t="s">
        <v>134</v>
      </c>
      <c r="B46" s="102"/>
      <c r="C46" s="102"/>
      <c r="D46" s="102"/>
      <c r="E46" s="102"/>
      <c r="F46" s="102"/>
      <c r="G46" s="102"/>
      <c r="H46" s="102"/>
      <c r="I46" s="102"/>
      <c r="J46" s="102"/>
      <c r="K46" s="102"/>
    </row>
    <row r="47" spans="1:11" ht="19.5" customHeight="1" x14ac:dyDescent="0.25">
      <c r="A47" s="32">
        <v>33</v>
      </c>
      <c r="B47" s="7" t="s">
        <v>135</v>
      </c>
      <c r="C47" s="33" t="s">
        <v>80</v>
      </c>
      <c r="D47" s="34" t="s">
        <v>81</v>
      </c>
      <c r="E47" s="10">
        <v>5</v>
      </c>
      <c r="F47" s="11" t="s">
        <v>34</v>
      </c>
      <c r="G47" s="10">
        <v>1</v>
      </c>
      <c r="H47" s="35" t="s">
        <v>87</v>
      </c>
      <c r="I47" s="13" t="str">
        <f>IF(AND(E47="",G47=""),"—",IF(E47&gt;G47,"1",IF(E47=G47,"X","2")))</f>
        <v>1</v>
      </c>
      <c r="J47" s="14" t="str">
        <f>IF(AND(E47="",G47=""),"Pendiente","✔ Jugado")</f>
        <v>✔ Jugado</v>
      </c>
      <c r="K47" s="15" t="s">
        <v>79</v>
      </c>
    </row>
    <row r="48" spans="1:11" ht="19.5" customHeight="1" x14ac:dyDescent="0.25">
      <c r="A48" s="28">
        <v>34</v>
      </c>
      <c r="B48" s="7" t="s">
        <v>135</v>
      </c>
      <c r="C48" s="29" t="s">
        <v>76</v>
      </c>
      <c r="D48" s="30" t="s">
        <v>77</v>
      </c>
      <c r="E48" s="10">
        <v>2</v>
      </c>
      <c r="F48" s="11" t="s">
        <v>34</v>
      </c>
      <c r="G48" s="10">
        <v>1</v>
      </c>
      <c r="H48" s="31" t="s">
        <v>84</v>
      </c>
      <c r="I48" s="13" t="str">
        <f>IF(AND(E48="",G48=""),"—",IF(E48&gt;G48,"1",IF(E48=G48,"X","2")))</f>
        <v>1</v>
      </c>
      <c r="J48" s="14" t="str">
        <f>IF(AND(E48="",G48=""),"Pendiente","✔ Jugado")</f>
        <v>✔ Jugado</v>
      </c>
      <c r="K48" s="15" t="s">
        <v>54</v>
      </c>
    </row>
    <row r="49" spans="1:11" ht="19.5" customHeight="1" x14ac:dyDescent="0.25">
      <c r="A49" s="28">
        <v>35</v>
      </c>
      <c r="B49" s="7" t="s">
        <v>135</v>
      </c>
      <c r="C49" s="29" t="s">
        <v>76</v>
      </c>
      <c r="D49" s="30" t="s">
        <v>85</v>
      </c>
      <c r="E49" s="10">
        <v>0</v>
      </c>
      <c r="F49" s="11" t="s">
        <v>34</v>
      </c>
      <c r="G49" s="10">
        <v>0</v>
      </c>
      <c r="H49" s="31" t="s">
        <v>78</v>
      </c>
      <c r="I49" s="13" t="str">
        <f>IF(AND(E49="",G49=""),"—",IF(E49&gt;G49,"1",IF(E49=G49,"X","2")))</f>
        <v>X</v>
      </c>
      <c r="J49" s="14" t="str">
        <f>IF(AND(E49="",G49=""),"Pendiente","✔ Jugado")</f>
        <v>✔ Jugado</v>
      </c>
      <c r="K49" s="15" t="s">
        <v>115</v>
      </c>
    </row>
    <row r="50" spans="1:11" ht="15" customHeight="1" x14ac:dyDescent="0.25">
      <c r="A50" s="101" t="s">
        <v>136</v>
      </c>
      <c r="B50" s="102"/>
      <c r="C50" s="102"/>
      <c r="D50" s="102"/>
      <c r="E50" s="102"/>
      <c r="F50" s="102"/>
      <c r="G50" s="102"/>
      <c r="H50" s="102"/>
      <c r="I50" s="102"/>
      <c r="J50" s="102"/>
      <c r="K50" s="102"/>
    </row>
    <row r="51" spans="1:11" ht="19.5" customHeight="1" x14ac:dyDescent="0.25">
      <c r="A51" s="32">
        <v>36</v>
      </c>
      <c r="B51" s="7" t="s">
        <v>137</v>
      </c>
      <c r="C51" s="33" t="s">
        <v>80</v>
      </c>
      <c r="D51" s="34" t="s">
        <v>88</v>
      </c>
      <c r="E51" s="10"/>
      <c r="F51" s="11" t="s">
        <v>34</v>
      </c>
      <c r="G51" s="10"/>
      <c r="H51" s="35" t="s">
        <v>82</v>
      </c>
      <c r="I51" s="13" t="str">
        <f>IF(AND(E51="",G51=""),"—",IF(E51&gt;G51,"1",IF(E51=G51,"X","2")))</f>
        <v>—</v>
      </c>
      <c r="J51" s="14" t="str">
        <f>IF(AND(E51="",G51=""),"Pendiente","✔ Jugado")</f>
        <v>Pendiente</v>
      </c>
      <c r="K51" s="15" t="s">
        <v>89</v>
      </c>
    </row>
    <row r="52" spans="1:11" ht="19.5" customHeight="1" x14ac:dyDescent="0.25">
      <c r="A52" s="36">
        <v>37</v>
      </c>
      <c r="B52" s="7" t="s">
        <v>137</v>
      </c>
      <c r="C52" s="37" t="s">
        <v>92</v>
      </c>
      <c r="D52" s="38" t="s">
        <v>93</v>
      </c>
      <c r="E52" s="10"/>
      <c r="F52" s="11" t="s">
        <v>34</v>
      </c>
      <c r="G52" s="10"/>
      <c r="H52" s="39" t="s">
        <v>100</v>
      </c>
      <c r="I52" s="13" t="str">
        <f>IF(AND(E52="",G52=""),"—",IF(E52&gt;G52,"1",IF(E52=G52,"X","2")))</f>
        <v>—</v>
      </c>
      <c r="J52" s="14" t="str">
        <f>IF(AND(E52="",G52=""),"Pendiente","✔ Jugado")</f>
        <v>Pendiente</v>
      </c>
      <c r="K52" s="15" t="s">
        <v>95</v>
      </c>
    </row>
    <row r="53" spans="1:11" ht="19.5" customHeight="1" x14ac:dyDescent="0.25">
      <c r="A53" s="40">
        <v>38</v>
      </c>
      <c r="B53" s="7" t="s">
        <v>137</v>
      </c>
      <c r="C53" s="41" t="s">
        <v>96</v>
      </c>
      <c r="D53" s="42" t="s">
        <v>97</v>
      </c>
      <c r="E53" s="10"/>
      <c r="F53" s="11" t="s">
        <v>34</v>
      </c>
      <c r="G53" s="10"/>
      <c r="H53" s="43" t="s">
        <v>103</v>
      </c>
      <c r="I53" s="13" t="str">
        <f>IF(AND(E53="",G53=""),"—",IF(E53&gt;G53,"1",IF(E53=G53,"X","2")))</f>
        <v>—</v>
      </c>
      <c r="J53" s="14" t="str">
        <f>IF(AND(E53="",G53=""),"Pendiente","✔ Jugado")</f>
        <v>Pendiente</v>
      </c>
      <c r="K53" s="15" t="s">
        <v>58</v>
      </c>
    </row>
    <row r="54" spans="1:11" ht="19.5" customHeight="1" x14ac:dyDescent="0.25">
      <c r="A54" s="36">
        <v>39</v>
      </c>
      <c r="B54" s="7" t="s">
        <v>137</v>
      </c>
      <c r="C54" s="37" t="s">
        <v>92</v>
      </c>
      <c r="D54" s="38" t="s">
        <v>101</v>
      </c>
      <c r="E54" s="10"/>
      <c r="F54" s="11" t="s">
        <v>34</v>
      </c>
      <c r="G54" s="10"/>
      <c r="H54" s="39" t="s">
        <v>94</v>
      </c>
      <c r="I54" s="13" t="str">
        <f>IF(AND(E54="",G54=""),"—",IF(E54&gt;G54,"1",IF(E54=G54,"X","2")))</f>
        <v>—</v>
      </c>
      <c r="J54" s="14" t="str">
        <f>IF(AND(E54="",G54=""),"Pendiente","✔ Jugado")</f>
        <v>Pendiente</v>
      </c>
      <c r="K54" s="15" t="s">
        <v>102</v>
      </c>
    </row>
    <row r="55" spans="1:11" ht="19.5" customHeight="1" x14ac:dyDescent="0.25">
      <c r="A55" s="40">
        <v>40</v>
      </c>
      <c r="B55" s="7" t="s">
        <v>137</v>
      </c>
      <c r="C55" s="41" t="s">
        <v>96</v>
      </c>
      <c r="D55" s="42" t="s">
        <v>104</v>
      </c>
      <c r="E55" s="10"/>
      <c r="F55" s="11" t="s">
        <v>34</v>
      </c>
      <c r="G55" s="10"/>
      <c r="H55" s="43" t="s">
        <v>98</v>
      </c>
      <c r="I55" s="13" t="str">
        <f>IF(AND(E55="",G55=""),"—",IF(E55&gt;G55,"1",IF(E55=G55,"X","2")))</f>
        <v>—</v>
      </c>
      <c r="J55" s="14" t="str">
        <f>IF(AND(E55="",G55=""),"Pendiente","✔ Jugado")</f>
        <v>Pendiente</v>
      </c>
      <c r="K55" s="15" t="s">
        <v>75</v>
      </c>
    </row>
    <row r="56" spans="1:11" ht="15" customHeight="1" x14ac:dyDescent="0.25">
      <c r="A56" s="101" t="s">
        <v>138</v>
      </c>
      <c r="B56" s="102"/>
      <c r="C56" s="102"/>
      <c r="D56" s="102"/>
      <c r="E56" s="102"/>
      <c r="F56" s="102"/>
      <c r="G56" s="102"/>
      <c r="H56" s="102"/>
      <c r="I56" s="102"/>
      <c r="J56" s="102"/>
      <c r="K56" s="102"/>
    </row>
    <row r="57" spans="1:11" ht="19.5" customHeight="1" x14ac:dyDescent="0.25">
      <c r="A57" s="48">
        <v>41</v>
      </c>
      <c r="B57" s="7" t="s">
        <v>139</v>
      </c>
      <c r="C57" s="49" t="s">
        <v>112</v>
      </c>
      <c r="D57" s="50" t="s">
        <v>113</v>
      </c>
      <c r="E57" s="10"/>
      <c r="F57" s="11" t="s">
        <v>34</v>
      </c>
      <c r="G57" s="10"/>
      <c r="H57" s="51" t="s">
        <v>118</v>
      </c>
      <c r="I57" s="13" t="str">
        <f>IF(AND(E57="",G57=""),"—",IF(E57&gt;G57,"1",IF(E57=G57,"X","2")))</f>
        <v>—</v>
      </c>
      <c r="J57" s="14" t="str">
        <f>IF(AND(E57="",G57=""),"Pendiente","✔ Jugado")</f>
        <v>Pendiente</v>
      </c>
      <c r="K57" s="15" t="s">
        <v>83</v>
      </c>
    </row>
    <row r="58" spans="1:11" ht="19.5" customHeight="1" x14ac:dyDescent="0.25">
      <c r="A58" s="44">
        <v>42</v>
      </c>
      <c r="B58" s="7" t="s">
        <v>139</v>
      </c>
      <c r="C58" s="45" t="s">
        <v>107</v>
      </c>
      <c r="D58" s="46" t="s">
        <v>108</v>
      </c>
      <c r="E58" s="10"/>
      <c r="F58" s="11" t="s">
        <v>34</v>
      </c>
      <c r="G58" s="10"/>
      <c r="H58" s="47" t="s">
        <v>110</v>
      </c>
      <c r="I58" s="13" t="str">
        <f>IF(AND(E58="",G58=""),"—",IF(E58&gt;G58,"1",IF(E58=G58,"X","2")))</f>
        <v>—</v>
      </c>
      <c r="J58" s="14" t="str">
        <f>IF(AND(E58="",G58=""),"Pendiente","✔ Jugado")</f>
        <v>Pendiente</v>
      </c>
      <c r="K58" s="15" t="s">
        <v>86</v>
      </c>
    </row>
    <row r="59" spans="1:11" ht="19.5" customHeight="1" x14ac:dyDescent="0.25">
      <c r="A59" s="44">
        <v>43</v>
      </c>
      <c r="B59" s="7" t="s">
        <v>139</v>
      </c>
      <c r="C59" s="45" t="s">
        <v>107</v>
      </c>
      <c r="D59" s="46" t="s">
        <v>111</v>
      </c>
      <c r="E59" s="10"/>
      <c r="F59" s="11" t="s">
        <v>34</v>
      </c>
      <c r="G59" s="10"/>
      <c r="H59" s="47" t="s">
        <v>109</v>
      </c>
      <c r="I59" s="13" t="str">
        <f>IF(AND(E59="",G59=""),"—",IF(E59&gt;G59,"1",IF(E59=G59,"X","2")))</f>
        <v>—</v>
      </c>
      <c r="J59" s="14" t="str">
        <f>IF(AND(E59="",G59=""),"Pendiente","✔ Jugado")</f>
        <v>Pendiente</v>
      </c>
      <c r="K59" s="15" t="s">
        <v>67</v>
      </c>
    </row>
    <row r="60" spans="1:11" ht="19.5" customHeight="1" x14ac:dyDescent="0.25">
      <c r="A60" s="48">
        <v>44</v>
      </c>
      <c r="B60" s="7" t="s">
        <v>139</v>
      </c>
      <c r="C60" s="49" t="s">
        <v>112</v>
      </c>
      <c r="D60" s="50" t="s">
        <v>119</v>
      </c>
      <c r="E60" s="10"/>
      <c r="F60" s="11" t="s">
        <v>34</v>
      </c>
      <c r="G60" s="10"/>
      <c r="H60" s="51" t="s">
        <v>114</v>
      </c>
      <c r="I60" s="13" t="str">
        <f>IF(AND(E60="",G60=""),"—",IF(E60&gt;G60,"1",IF(E60=G60,"X","2")))</f>
        <v>—</v>
      </c>
      <c r="J60" s="14" t="str">
        <f>IF(AND(E60="",G60=""),"Pendiente","✔ Jugado")</f>
        <v>Pendiente</v>
      </c>
      <c r="K60" s="15" t="s">
        <v>70</v>
      </c>
    </row>
    <row r="61" spans="1:11" ht="15" customHeight="1" x14ac:dyDescent="0.25">
      <c r="A61" s="101" t="s">
        <v>140</v>
      </c>
      <c r="B61" s="102"/>
      <c r="C61" s="102"/>
      <c r="D61" s="102"/>
      <c r="E61" s="102"/>
      <c r="F61" s="102"/>
      <c r="G61" s="102"/>
      <c r="H61" s="102"/>
      <c r="I61" s="102"/>
      <c r="J61" s="102"/>
      <c r="K61" s="102"/>
    </row>
    <row r="62" spans="1:11" ht="19.5" customHeight="1" x14ac:dyDescent="0.25">
      <c r="A62" s="52">
        <v>45</v>
      </c>
      <c r="B62" s="7" t="s">
        <v>141</v>
      </c>
      <c r="C62" s="53" t="s">
        <v>120</v>
      </c>
      <c r="D62" s="54" t="s">
        <v>121</v>
      </c>
      <c r="E62" s="10"/>
      <c r="F62" s="11" t="s">
        <v>34</v>
      </c>
      <c r="G62" s="10"/>
      <c r="H62" s="55" t="s">
        <v>128</v>
      </c>
      <c r="I62" s="13" t="str">
        <f>IF(AND(E62="",G62=""),"—",IF(E62&gt;G62,"1",IF(E62=G62,"X","2")))</f>
        <v>—</v>
      </c>
      <c r="J62" s="14" t="str">
        <f>IF(AND(E62="",G62=""),"Pendiente","✔ Jugado")</f>
        <v>Pendiente</v>
      </c>
      <c r="K62" s="15" t="s">
        <v>79</v>
      </c>
    </row>
    <row r="63" spans="1:11" ht="19.5" customHeight="1" x14ac:dyDescent="0.25">
      <c r="A63" s="56">
        <v>46</v>
      </c>
      <c r="B63" s="7" t="s">
        <v>141</v>
      </c>
      <c r="C63" s="57" t="s">
        <v>123</v>
      </c>
      <c r="D63" s="58" t="s">
        <v>124</v>
      </c>
      <c r="E63" s="10"/>
      <c r="F63" s="11" t="s">
        <v>34</v>
      </c>
      <c r="G63" s="10"/>
      <c r="H63" s="59" t="s">
        <v>126</v>
      </c>
      <c r="I63" s="13" t="str">
        <f>IF(AND(E63="",G63=""),"—",IF(E63&gt;G63,"1",IF(E63=G63,"X","2")))</f>
        <v>—</v>
      </c>
      <c r="J63" s="14" t="str">
        <f>IF(AND(E63="",G63=""),"Pendiente","✔ Jugado")</f>
        <v>Pendiente</v>
      </c>
      <c r="K63" s="15" t="s">
        <v>64</v>
      </c>
    </row>
    <row r="64" spans="1:11" ht="19.5" customHeight="1" x14ac:dyDescent="0.25">
      <c r="A64" s="56">
        <v>47</v>
      </c>
      <c r="B64" s="7" t="s">
        <v>141</v>
      </c>
      <c r="C64" s="57" t="s">
        <v>123</v>
      </c>
      <c r="D64" s="58" t="s">
        <v>127</v>
      </c>
      <c r="E64" s="10"/>
      <c r="F64" s="11" t="s">
        <v>34</v>
      </c>
      <c r="G64" s="10"/>
      <c r="H64" s="59" t="s">
        <v>125</v>
      </c>
      <c r="I64" s="13" t="str">
        <f>IF(AND(E64="",G64=""),"—",IF(E64&gt;G64,"1",IF(E64=G64,"X","2")))</f>
        <v>—</v>
      </c>
      <c r="J64" s="14" t="str">
        <f>IF(AND(E64="",G64=""),"Pendiente","✔ Jugado")</f>
        <v>Pendiente</v>
      </c>
      <c r="K64" s="15" t="s">
        <v>54</v>
      </c>
    </row>
    <row r="65" spans="1:11" ht="19.5" customHeight="1" x14ac:dyDescent="0.25">
      <c r="A65" s="52">
        <v>48</v>
      </c>
      <c r="B65" s="7" t="s">
        <v>141</v>
      </c>
      <c r="C65" s="53" t="s">
        <v>120</v>
      </c>
      <c r="D65" s="54" t="s">
        <v>129</v>
      </c>
      <c r="E65" s="10"/>
      <c r="F65" s="11" t="s">
        <v>34</v>
      </c>
      <c r="G65" s="10"/>
      <c r="H65" s="55" t="s">
        <v>122</v>
      </c>
      <c r="I65" s="13" t="str">
        <f>IF(AND(E65="",G65=""),"—",IF(E65&gt;G65,"1",IF(E65=G65,"X","2")))</f>
        <v>—</v>
      </c>
      <c r="J65" s="14" t="str">
        <f>IF(AND(E65="",G65=""),"Pendiente","✔ Jugado")</f>
        <v>Pendiente</v>
      </c>
      <c r="K65" s="15" t="s">
        <v>48</v>
      </c>
    </row>
    <row r="66" spans="1:11" ht="15" customHeight="1" x14ac:dyDescent="0.25">
      <c r="A66" s="101" t="s">
        <v>142</v>
      </c>
      <c r="B66" s="102"/>
      <c r="C66" s="102"/>
      <c r="D66" s="102"/>
      <c r="E66" s="102"/>
      <c r="F66" s="102"/>
      <c r="G66" s="102"/>
      <c r="H66" s="102"/>
      <c r="I66" s="102"/>
      <c r="J66" s="102"/>
      <c r="K66" s="102"/>
    </row>
    <row r="67" spans="1:11" ht="19.5" customHeight="1" x14ac:dyDescent="0.25">
      <c r="A67" s="16">
        <v>49</v>
      </c>
      <c r="B67" s="7" t="s">
        <v>143</v>
      </c>
      <c r="C67" s="17" t="s">
        <v>51</v>
      </c>
      <c r="D67" s="18" t="s">
        <v>69</v>
      </c>
      <c r="E67" s="10"/>
      <c r="F67" s="11" t="s">
        <v>34</v>
      </c>
      <c r="G67" s="10"/>
      <c r="H67" s="19" t="s">
        <v>52</v>
      </c>
      <c r="I67" s="13" t="str">
        <f t="shared" ref="I67:I72" si="0">IF(AND(E67="",G67=""),"—",IF(E67&gt;G67,"1",IF(E67=G67,"X","2")))</f>
        <v>—</v>
      </c>
      <c r="J67" s="14" t="str">
        <f t="shared" ref="J67:J72" si="1">IF(AND(E67="",G67=""),"Pendiente","✔ Jugado")</f>
        <v>Pendiente</v>
      </c>
      <c r="K67" s="15" t="s">
        <v>75</v>
      </c>
    </row>
    <row r="68" spans="1:11" ht="19.5" customHeight="1" x14ac:dyDescent="0.25">
      <c r="A68" s="16">
        <v>50</v>
      </c>
      <c r="B68" s="7" t="s">
        <v>143</v>
      </c>
      <c r="C68" s="17" t="s">
        <v>51</v>
      </c>
      <c r="D68" s="18" t="s">
        <v>53</v>
      </c>
      <c r="E68" s="10"/>
      <c r="F68" s="11" t="s">
        <v>34</v>
      </c>
      <c r="G68" s="10"/>
      <c r="H68" s="19" t="s">
        <v>68</v>
      </c>
      <c r="I68" s="13" t="str">
        <f t="shared" si="0"/>
        <v>—</v>
      </c>
      <c r="J68" s="14" t="str">
        <f t="shared" si="1"/>
        <v>Pendiente</v>
      </c>
      <c r="K68" s="15" t="s">
        <v>99</v>
      </c>
    </row>
    <row r="69" spans="1:11" ht="19.5" customHeight="1" x14ac:dyDescent="0.25">
      <c r="A69" s="24">
        <v>51</v>
      </c>
      <c r="B69" s="7" t="s">
        <v>143</v>
      </c>
      <c r="C69" s="25" t="s">
        <v>61</v>
      </c>
      <c r="D69" s="26" t="s">
        <v>63</v>
      </c>
      <c r="E69" s="10"/>
      <c r="F69" s="11" t="s">
        <v>34</v>
      </c>
      <c r="G69" s="10"/>
      <c r="H69" s="27" t="s">
        <v>65</v>
      </c>
      <c r="I69" s="13" t="str">
        <f t="shared" si="0"/>
        <v>—</v>
      </c>
      <c r="J69" s="14" t="str">
        <f t="shared" si="1"/>
        <v>Pendiente</v>
      </c>
      <c r="K69" s="15" t="s">
        <v>102</v>
      </c>
    </row>
    <row r="70" spans="1:11" ht="19.5" customHeight="1" x14ac:dyDescent="0.25">
      <c r="A70" s="24">
        <v>52</v>
      </c>
      <c r="B70" s="7" t="s">
        <v>143</v>
      </c>
      <c r="C70" s="25" t="s">
        <v>61</v>
      </c>
      <c r="D70" s="26" t="s">
        <v>66</v>
      </c>
      <c r="E70" s="10"/>
      <c r="F70" s="11" t="s">
        <v>34</v>
      </c>
      <c r="G70" s="10"/>
      <c r="H70" s="27" t="s">
        <v>62</v>
      </c>
      <c r="I70" s="13" t="str">
        <f t="shared" si="0"/>
        <v>—</v>
      </c>
      <c r="J70" s="14" t="str">
        <f t="shared" si="1"/>
        <v>Pendiente</v>
      </c>
      <c r="K70" s="15" t="s">
        <v>95</v>
      </c>
    </row>
    <row r="71" spans="1:11" ht="19.5" customHeight="1" x14ac:dyDescent="0.25">
      <c r="A71" s="6">
        <v>53</v>
      </c>
      <c r="B71" s="7" t="s">
        <v>143</v>
      </c>
      <c r="C71" s="8" t="s">
        <v>42</v>
      </c>
      <c r="D71" s="9" t="s">
        <v>47</v>
      </c>
      <c r="E71" s="10"/>
      <c r="F71" s="11" t="s">
        <v>34</v>
      </c>
      <c r="G71" s="10"/>
      <c r="H71" s="12" t="s">
        <v>43</v>
      </c>
      <c r="I71" s="13" t="str">
        <f t="shared" si="0"/>
        <v>—</v>
      </c>
      <c r="J71" s="14" t="str">
        <f t="shared" si="1"/>
        <v>Pendiente</v>
      </c>
      <c r="K71" s="15" t="s">
        <v>45</v>
      </c>
    </row>
    <row r="72" spans="1:11" ht="19.5" customHeight="1" x14ac:dyDescent="0.25">
      <c r="A72" s="6">
        <v>54</v>
      </c>
      <c r="B72" s="7" t="s">
        <v>143</v>
      </c>
      <c r="C72" s="8" t="s">
        <v>42</v>
      </c>
      <c r="D72" s="9" t="s">
        <v>44</v>
      </c>
      <c r="E72" s="10"/>
      <c r="F72" s="11" t="s">
        <v>34</v>
      </c>
      <c r="G72" s="10"/>
      <c r="H72" s="12" t="s">
        <v>46</v>
      </c>
      <c r="I72" s="13" t="str">
        <f t="shared" si="0"/>
        <v>—</v>
      </c>
      <c r="J72" s="14" t="str">
        <f t="shared" si="1"/>
        <v>Pendiente</v>
      </c>
      <c r="K72" s="15" t="s">
        <v>89</v>
      </c>
    </row>
    <row r="73" spans="1:11" ht="15" customHeight="1" x14ac:dyDescent="0.25">
      <c r="A73" s="101" t="s">
        <v>144</v>
      </c>
      <c r="B73" s="102"/>
      <c r="C73" s="102"/>
      <c r="D73" s="102"/>
      <c r="E73" s="102"/>
      <c r="F73" s="102"/>
      <c r="G73" s="102"/>
      <c r="H73" s="102"/>
      <c r="I73" s="102"/>
      <c r="J73" s="102"/>
      <c r="K73" s="102"/>
    </row>
    <row r="74" spans="1:11" ht="19.5" customHeight="1" x14ac:dyDescent="0.25">
      <c r="A74" s="28">
        <v>55</v>
      </c>
      <c r="B74" s="7" t="s">
        <v>145</v>
      </c>
      <c r="C74" s="29" t="s">
        <v>76</v>
      </c>
      <c r="D74" s="30" t="s">
        <v>78</v>
      </c>
      <c r="E74" s="10"/>
      <c r="F74" s="11" t="s">
        <v>34</v>
      </c>
      <c r="G74" s="10"/>
      <c r="H74" s="31" t="s">
        <v>84</v>
      </c>
      <c r="I74" s="13" t="str">
        <f t="shared" ref="I74:I79" si="2">IF(AND(E74="",G74=""),"—",IF(E74&gt;G74,"1",IF(E74=G74,"X","2")))</f>
        <v>—</v>
      </c>
      <c r="J74" s="14" t="str">
        <f t="shared" ref="J74:J79" si="3">IF(AND(E74="",G74=""),"Pendiente","✔ Jugado")</f>
        <v>Pendiente</v>
      </c>
      <c r="K74" s="15" t="s">
        <v>86</v>
      </c>
    </row>
    <row r="75" spans="1:11" ht="19.5" customHeight="1" x14ac:dyDescent="0.25">
      <c r="A75" s="28">
        <v>56</v>
      </c>
      <c r="B75" s="7" t="s">
        <v>145</v>
      </c>
      <c r="C75" s="29" t="s">
        <v>76</v>
      </c>
      <c r="D75" s="30" t="s">
        <v>85</v>
      </c>
      <c r="E75" s="10"/>
      <c r="F75" s="11" t="s">
        <v>34</v>
      </c>
      <c r="G75" s="10"/>
      <c r="H75" s="31" t="s">
        <v>77</v>
      </c>
      <c r="I75" s="13" t="str">
        <f t="shared" si="2"/>
        <v>—</v>
      </c>
      <c r="J75" s="14" t="str">
        <f t="shared" si="3"/>
        <v>Pendiente</v>
      </c>
      <c r="K75" s="15" t="s">
        <v>67</v>
      </c>
    </row>
    <row r="76" spans="1:11" ht="19.5" customHeight="1" x14ac:dyDescent="0.25">
      <c r="A76" s="32">
        <v>57</v>
      </c>
      <c r="B76" s="7" t="s">
        <v>145</v>
      </c>
      <c r="C76" s="33" t="s">
        <v>80</v>
      </c>
      <c r="D76" s="34" t="s">
        <v>82</v>
      </c>
      <c r="E76" s="10"/>
      <c r="F76" s="11" t="s">
        <v>34</v>
      </c>
      <c r="G76" s="10"/>
      <c r="H76" s="35" t="s">
        <v>87</v>
      </c>
      <c r="I76" s="13" t="str">
        <f t="shared" si="2"/>
        <v>—</v>
      </c>
      <c r="J76" s="14" t="str">
        <f t="shared" si="3"/>
        <v>Pendiente</v>
      </c>
      <c r="K76" s="15" t="s">
        <v>83</v>
      </c>
    </row>
    <row r="77" spans="1:11" ht="19.5" customHeight="1" x14ac:dyDescent="0.25">
      <c r="A77" s="32">
        <v>58</v>
      </c>
      <c r="B77" s="7" t="s">
        <v>145</v>
      </c>
      <c r="C77" s="33" t="s">
        <v>80</v>
      </c>
      <c r="D77" s="34" t="s">
        <v>88</v>
      </c>
      <c r="E77" s="10"/>
      <c r="F77" s="11" t="s">
        <v>34</v>
      </c>
      <c r="G77" s="10"/>
      <c r="H77" s="35" t="s">
        <v>81</v>
      </c>
      <c r="I77" s="13" t="str">
        <f t="shared" si="2"/>
        <v>—</v>
      </c>
      <c r="J77" s="14" t="str">
        <f t="shared" si="3"/>
        <v>Pendiente</v>
      </c>
      <c r="K77" s="15" t="s">
        <v>115</v>
      </c>
    </row>
    <row r="78" spans="1:11" ht="19.5" customHeight="1" x14ac:dyDescent="0.25">
      <c r="A78" s="20">
        <v>59</v>
      </c>
      <c r="B78" s="7" t="s">
        <v>145</v>
      </c>
      <c r="C78" s="21" t="s">
        <v>55</v>
      </c>
      <c r="D78" s="22" t="s">
        <v>74</v>
      </c>
      <c r="E78" s="10"/>
      <c r="F78" s="11" t="s">
        <v>34</v>
      </c>
      <c r="G78" s="10"/>
      <c r="H78" s="23" t="s">
        <v>56</v>
      </c>
      <c r="I78" s="13" t="str">
        <f t="shared" si="2"/>
        <v>—</v>
      </c>
      <c r="J78" s="14" t="str">
        <f t="shared" si="3"/>
        <v>Pendiente</v>
      </c>
      <c r="K78" s="15" t="s">
        <v>58</v>
      </c>
    </row>
    <row r="79" spans="1:11" ht="19.5" customHeight="1" x14ac:dyDescent="0.25">
      <c r="A79" s="20">
        <v>60</v>
      </c>
      <c r="B79" s="7" t="s">
        <v>145</v>
      </c>
      <c r="C79" s="21" t="s">
        <v>55</v>
      </c>
      <c r="D79" s="22" t="s">
        <v>57</v>
      </c>
      <c r="E79" s="10"/>
      <c r="F79" s="11" t="s">
        <v>34</v>
      </c>
      <c r="G79" s="10"/>
      <c r="H79" s="23" t="s">
        <v>73</v>
      </c>
      <c r="I79" s="13" t="str">
        <f t="shared" si="2"/>
        <v>—</v>
      </c>
      <c r="J79" s="14" t="str">
        <f t="shared" si="3"/>
        <v>Pendiente</v>
      </c>
      <c r="K79" s="15" t="s">
        <v>70</v>
      </c>
    </row>
    <row r="80" spans="1:11" ht="15" customHeight="1" x14ac:dyDescent="0.25">
      <c r="A80" s="101" t="s">
        <v>146</v>
      </c>
      <c r="B80" s="102"/>
      <c r="C80" s="102"/>
      <c r="D80" s="102"/>
      <c r="E80" s="102"/>
      <c r="F80" s="102"/>
      <c r="G80" s="102"/>
      <c r="H80" s="102"/>
      <c r="I80" s="102"/>
      <c r="J80" s="102"/>
      <c r="K80" s="102"/>
    </row>
    <row r="81" spans="1:11" ht="19.5" customHeight="1" x14ac:dyDescent="0.25">
      <c r="A81" s="44">
        <v>61</v>
      </c>
      <c r="B81" s="7" t="s">
        <v>147</v>
      </c>
      <c r="C81" s="45" t="s">
        <v>107</v>
      </c>
      <c r="D81" s="46" t="s">
        <v>111</v>
      </c>
      <c r="E81" s="10"/>
      <c r="F81" s="11" t="s">
        <v>34</v>
      </c>
      <c r="G81" s="10"/>
      <c r="H81" s="47" t="s">
        <v>108</v>
      </c>
      <c r="I81" s="13" t="str">
        <f t="shared" ref="I81:I86" si="4">IF(AND(E81="",G81=""),"—",IF(E81&gt;G81,"1",IF(E81=G81,"X","2")))</f>
        <v>—</v>
      </c>
      <c r="J81" s="14" t="str">
        <f t="shared" ref="J81:J86" si="5">IF(AND(E81="",G81=""),"Pendiente","✔ Jugado")</f>
        <v>Pendiente</v>
      </c>
      <c r="K81" s="15" t="s">
        <v>64</v>
      </c>
    </row>
    <row r="82" spans="1:11" ht="19.5" customHeight="1" x14ac:dyDescent="0.25">
      <c r="A82" s="44">
        <v>62</v>
      </c>
      <c r="B82" s="7" t="s">
        <v>147</v>
      </c>
      <c r="C82" s="45" t="s">
        <v>107</v>
      </c>
      <c r="D82" s="46" t="s">
        <v>109</v>
      </c>
      <c r="E82" s="10"/>
      <c r="F82" s="11" t="s">
        <v>34</v>
      </c>
      <c r="G82" s="10"/>
      <c r="H82" s="47" t="s">
        <v>110</v>
      </c>
      <c r="I82" s="13" t="str">
        <f t="shared" si="4"/>
        <v>—</v>
      </c>
      <c r="J82" s="14" t="str">
        <f t="shared" si="5"/>
        <v>Pendiente</v>
      </c>
      <c r="K82" s="15" t="s">
        <v>54</v>
      </c>
    </row>
    <row r="83" spans="1:11" ht="19.5" customHeight="1" x14ac:dyDescent="0.25">
      <c r="A83" s="36">
        <v>63</v>
      </c>
      <c r="B83" s="7" t="s">
        <v>147</v>
      </c>
      <c r="C83" s="37" t="s">
        <v>92</v>
      </c>
      <c r="D83" s="38" t="s">
        <v>94</v>
      </c>
      <c r="E83" s="10"/>
      <c r="F83" s="11" t="s">
        <v>34</v>
      </c>
      <c r="G83" s="10"/>
      <c r="H83" s="39" t="s">
        <v>100</v>
      </c>
      <c r="I83" s="13" t="str">
        <f t="shared" si="4"/>
        <v>—</v>
      </c>
      <c r="J83" s="14" t="str">
        <f t="shared" si="5"/>
        <v>Pendiente</v>
      </c>
      <c r="K83" s="15" t="s">
        <v>79</v>
      </c>
    </row>
    <row r="84" spans="1:11" ht="19.5" customHeight="1" x14ac:dyDescent="0.25">
      <c r="A84" s="36">
        <v>64</v>
      </c>
      <c r="B84" s="7" t="s">
        <v>147</v>
      </c>
      <c r="C84" s="37" t="s">
        <v>92</v>
      </c>
      <c r="D84" s="38" t="s">
        <v>101</v>
      </c>
      <c r="E84" s="10"/>
      <c r="F84" s="11" t="s">
        <v>34</v>
      </c>
      <c r="G84" s="10"/>
      <c r="H84" s="39" t="s">
        <v>93</v>
      </c>
      <c r="I84" s="13" t="str">
        <f t="shared" si="4"/>
        <v>—</v>
      </c>
      <c r="J84" s="14" t="str">
        <f t="shared" si="5"/>
        <v>Pendiente</v>
      </c>
      <c r="K84" s="15" t="s">
        <v>48</v>
      </c>
    </row>
    <row r="85" spans="1:11" ht="19.5" customHeight="1" x14ac:dyDescent="0.25">
      <c r="A85" s="40">
        <v>65</v>
      </c>
      <c r="B85" s="7" t="s">
        <v>147</v>
      </c>
      <c r="C85" s="41" t="s">
        <v>96</v>
      </c>
      <c r="D85" s="42" t="s">
        <v>98</v>
      </c>
      <c r="E85" s="10"/>
      <c r="F85" s="11" t="s">
        <v>34</v>
      </c>
      <c r="G85" s="10"/>
      <c r="H85" s="43" t="s">
        <v>103</v>
      </c>
      <c r="I85" s="13" t="str">
        <f t="shared" si="4"/>
        <v>—</v>
      </c>
      <c r="J85" s="14" t="str">
        <f t="shared" si="5"/>
        <v>Pendiente</v>
      </c>
      <c r="K85" s="15" t="s">
        <v>99</v>
      </c>
    </row>
    <row r="86" spans="1:11" ht="19.5" customHeight="1" x14ac:dyDescent="0.25">
      <c r="A86" s="40">
        <v>66</v>
      </c>
      <c r="B86" s="7" t="s">
        <v>147</v>
      </c>
      <c r="C86" s="41" t="s">
        <v>96</v>
      </c>
      <c r="D86" s="42" t="s">
        <v>104</v>
      </c>
      <c r="E86" s="10"/>
      <c r="F86" s="11" t="s">
        <v>34</v>
      </c>
      <c r="G86" s="10"/>
      <c r="H86" s="43" t="s">
        <v>97</v>
      </c>
      <c r="I86" s="13" t="str">
        <f t="shared" si="4"/>
        <v>—</v>
      </c>
      <c r="J86" s="14" t="str">
        <f t="shared" si="5"/>
        <v>Pendiente</v>
      </c>
      <c r="K86" s="15" t="s">
        <v>75</v>
      </c>
    </row>
    <row r="87" spans="1:11" ht="15" customHeight="1" x14ac:dyDescent="0.25">
      <c r="A87" s="101" t="s">
        <v>148</v>
      </c>
      <c r="B87" s="102"/>
      <c r="C87" s="102"/>
      <c r="D87" s="102"/>
      <c r="E87" s="102"/>
      <c r="F87" s="102"/>
      <c r="G87" s="102"/>
      <c r="H87" s="102"/>
      <c r="I87" s="102"/>
      <c r="J87" s="102"/>
      <c r="K87" s="102"/>
    </row>
    <row r="88" spans="1:11" ht="19.5" customHeight="1" x14ac:dyDescent="0.25">
      <c r="A88" s="56">
        <v>67</v>
      </c>
      <c r="B88" s="7" t="s">
        <v>149</v>
      </c>
      <c r="C88" s="57" t="s">
        <v>123</v>
      </c>
      <c r="D88" s="58" t="s">
        <v>127</v>
      </c>
      <c r="E88" s="10"/>
      <c r="F88" s="11" t="s">
        <v>34</v>
      </c>
      <c r="G88" s="10"/>
      <c r="H88" s="59" t="s">
        <v>124</v>
      </c>
      <c r="I88" s="13" t="str">
        <f t="shared" ref="I88:I93" si="6">IF(AND(E88="",G88=""),"—",IF(E88&gt;G88,"1",IF(E88=G88,"X","2")))</f>
        <v>—</v>
      </c>
      <c r="J88" s="14" t="str">
        <f t="shared" ref="J88:J93" si="7">IF(AND(E88="",G88=""),"Pendiente","✔ Jugado")</f>
        <v>Pendiente</v>
      </c>
      <c r="K88" s="15" t="s">
        <v>67</v>
      </c>
    </row>
    <row r="89" spans="1:11" ht="19.5" customHeight="1" x14ac:dyDescent="0.25">
      <c r="A89" s="56">
        <v>68</v>
      </c>
      <c r="B89" s="7" t="s">
        <v>149</v>
      </c>
      <c r="C89" s="57" t="s">
        <v>123</v>
      </c>
      <c r="D89" s="58" t="s">
        <v>125</v>
      </c>
      <c r="E89" s="10"/>
      <c r="F89" s="11" t="s">
        <v>34</v>
      </c>
      <c r="G89" s="10"/>
      <c r="H89" s="59" t="s">
        <v>126</v>
      </c>
      <c r="I89" s="13" t="str">
        <f t="shared" si="6"/>
        <v>—</v>
      </c>
      <c r="J89" s="14" t="str">
        <f t="shared" si="7"/>
        <v>Pendiente</v>
      </c>
      <c r="K89" s="15" t="s">
        <v>86</v>
      </c>
    </row>
    <row r="90" spans="1:11" ht="19.5" customHeight="1" x14ac:dyDescent="0.25">
      <c r="A90" s="52">
        <v>69</v>
      </c>
      <c r="B90" s="7" t="s">
        <v>149</v>
      </c>
      <c r="C90" s="53" t="s">
        <v>120</v>
      </c>
      <c r="D90" s="54" t="s">
        <v>129</v>
      </c>
      <c r="E90" s="10"/>
      <c r="F90" s="11" t="s">
        <v>34</v>
      </c>
      <c r="G90" s="10"/>
      <c r="H90" s="55" t="s">
        <v>121</v>
      </c>
      <c r="I90" s="13" t="str">
        <f t="shared" si="6"/>
        <v>—</v>
      </c>
      <c r="J90" s="14" t="str">
        <f t="shared" si="7"/>
        <v>Pendiente</v>
      </c>
      <c r="K90" s="15" t="s">
        <v>102</v>
      </c>
    </row>
    <row r="91" spans="1:11" ht="19.5" customHeight="1" x14ac:dyDescent="0.25">
      <c r="A91" s="52">
        <v>70</v>
      </c>
      <c r="B91" s="7" t="s">
        <v>149</v>
      </c>
      <c r="C91" s="53" t="s">
        <v>120</v>
      </c>
      <c r="D91" s="54" t="s">
        <v>122</v>
      </c>
      <c r="E91" s="10"/>
      <c r="F91" s="11" t="s">
        <v>34</v>
      </c>
      <c r="G91" s="10"/>
      <c r="H91" s="55" t="s">
        <v>128</v>
      </c>
      <c r="I91" s="13" t="str">
        <f t="shared" si="6"/>
        <v>—</v>
      </c>
      <c r="J91" s="14" t="str">
        <f t="shared" si="7"/>
        <v>Pendiente</v>
      </c>
      <c r="K91" s="15" t="s">
        <v>95</v>
      </c>
    </row>
    <row r="92" spans="1:11" ht="19.5" customHeight="1" x14ac:dyDescent="0.25">
      <c r="A92" s="48">
        <v>71</v>
      </c>
      <c r="B92" s="7" t="s">
        <v>149</v>
      </c>
      <c r="C92" s="49" t="s">
        <v>112</v>
      </c>
      <c r="D92" s="50" t="s">
        <v>114</v>
      </c>
      <c r="E92" s="10"/>
      <c r="F92" s="11" t="s">
        <v>34</v>
      </c>
      <c r="G92" s="10"/>
      <c r="H92" s="51" t="s">
        <v>118</v>
      </c>
      <c r="I92" s="13" t="str">
        <f t="shared" si="6"/>
        <v>—</v>
      </c>
      <c r="J92" s="14" t="str">
        <f t="shared" si="7"/>
        <v>Pendiente</v>
      </c>
      <c r="K92" s="15" t="s">
        <v>115</v>
      </c>
    </row>
    <row r="93" spans="1:11" ht="19.5" customHeight="1" x14ac:dyDescent="0.25">
      <c r="A93" s="48">
        <v>72</v>
      </c>
      <c r="B93" s="7" t="s">
        <v>149</v>
      </c>
      <c r="C93" s="49" t="s">
        <v>112</v>
      </c>
      <c r="D93" s="50" t="s">
        <v>119</v>
      </c>
      <c r="E93" s="10"/>
      <c r="F93" s="11" t="s">
        <v>34</v>
      </c>
      <c r="G93" s="10"/>
      <c r="H93" s="51" t="s">
        <v>113</v>
      </c>
      <c r="I93" s="13" t="str">
        <f t="shared" si="6"/>
        <v>—</v>
      </c>
      <c r="J93" s="14" t="str">
        <f t="shared" si="7"/>
        <v>Pendiente</v>
      </c>
      <c r="K93" s="15" t="s">
        <v>83</v>
      </c>
    </row>
    <row r="94" spans="1:11" ht="15.75" customHeight="1" x14ac:dyDescent="0.25"/>
    <row r="95" spans="1:11" ht="15.75" customHeight="1" x14ac:dyDescent="0.25"/>
    <row r="96" spans="1:11"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9">
    <mergeCell ref="A11:K11"/>
    <mergeCell ref="A36:K36"/>
    <mergeCell ref="A1:K1"/>
    <mergeCell ref="A61:K61"/>
    <mergeCell ref="A26:K26"/>
    <mergeCell ref="A21:K21"/>
    <mergeCell ref="A2:K2"/>
    <mergeCell ref="A5:K5"/>
    <mergeCell ref="A8:K8"/>
    <mergeCell ref="A30:K30"/>
    <mergeCell ref="A15:K15"/>
    <mergeCell ref="A87:K87"/>
    <mergeCell ref="A41:K41"/>
    <mergeCell ref="A46:K46"/>
    <mergeCell ref="A66:K66"/>
    <mergeCell ref="A80:K80"/>
    <mergeCell ref="A56:K56"/>
    <mergeCell ref="A50:K50"/>
    <mergeCell ref="A73:K73"/>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J1000"/>
  <sheetViews>
    <sheetView topLeftCell="A45" zoomScaleNormal="100" workbookViewId="0">
      <selection activeCell="H61" sqref="H61"/>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152</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2</v>
      </c>
      <c r="G8" s="11" t="s">
        <v>34</v>
      </c>
      <c r="H8" s="88">
        <v>2</v>
      </c>
      <c r="I8" s="63" t="s">
        <v>44</v>
      </c>
      <c r="J8" s="64" t="s">
        <v>45</v>
      </c>
    </row>
    <row r="9" spans="1:10" ht="19.5" customHeight="1" x14ac:dyDescent="0.25">
      <c r="A9" s="6">
        <v>2</v>
      </c>
      <c r="B9" s="7" t="s">
        <v>41</v>
      </c>
      <c r="C9" s="61">
        <v>0.95833333333333337</v>
      </c>
      <c r="D9" s="8" t="s">
        <v>42</v>
      </c>
      <c r="E9" s="62" t="s">
        <v>46</v>
      </c>
      <c r="F9" s="88">
        <v>1</v>
      </c>
      <c r="G9" s="11" t="s">
        <v>34</v>
      </c>
      <c r="H9" s="88">
        <v>1</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2</v>
      </c>
      <c r="G11" s="11" t="s">
        <v>34</v>
      </c>
      <c r="H11" s="89">
        <v>0</v>
      </c>
      <c r="I11" s="66" t="s">
        <v>53</v>
      </c>
      <c r="J11" s="64" t="s">
        <v>54</v>
      </c>
    </row>
    <row r="12" spans="1:10" ht="19.5" customHeight="1" x14ac:dyDescent="0.25">
      <c r="A12" s="20">
        <v>4</v>
      </c>
      <c r="B12" s="7" t="s">
        <v>50</v>
      </c>
      <c r="C12" s="61">
        <v>0.66666666666666663</v>
      </c>
      <c r="D12" s="21" t="s">
        <v>55</v>
      </c>
      <c r="E12" s="67" t="s">
        <v>56</v>
      </c>
      <c r="F12" s="90">
        <v>1</v>
      </c>
      <c r="G12" s="11" t="s">
        <v>34</v>
      </c>
      <c r="H12" s="90">
        <v>0</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0</v>
      </c>
      <c r="G14" s="11" t="s">
        <v>34</v>
      </c>
      <c r="H14" s="91">
        <v>3</v>
      </c>
      <c r="I14" s="70" t="s">
        <v>63</v>
      </c>
      <c r="J14" s="64" t="s">
        <v>64</v>
      </c>
    </row>
    <row r="15" spans="1:10" ht="19.5" customHeight="1" x14ac:dyDescent="0.25">
      <c r="A15" s="24">
        <v>6</v>
      </c>
      <c r="B15" s="7" t="s">
        <v>60</v>
      </c>
      <c r="C15" s="61">
        <v>0.79166666666666663</v>
      </c>
      <c r="D15" s="25" t="s">
        <v>61</v>
      </c>
      <c r="E15" s="69" t="s">
        <v>65</v>
      </c>
      <c r="F15" s="91">
        <v>1</v>
      </c>
      <c r="G15" s="11" t="s">
        <v>34</v>
      </c>
      <c r="H15" s="91">
        <v>1</v>
      </c>
      <c r="I15" s="70" t="s">
        <v>66</v>
      </c>
      <c r="J15" s="64" t="s">
        <v>67</v>
      </c>
    </row>
    <row r="16" spans="1:10" ht="19.5" customHeight="1" x14ac:dyDescent="0.25">
      <c r="A16" s="16">
        <v>7</v>
      </c>
      <c r="B16" s="7" t="s">
        <v>60</v>
      </c>
      <c r="C16" s="61">
        <v>0.66666666666666663</v>
      </c>
      <c r="D16" s="17" t="s">
        <v>51</v>
      </c>
      <c r="E16" s="65" t="s">
        <v>68</v>
      </c>
      <c r="F16" s="89">
        <v>0</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1</v>
      </c>
      <c r="G18" s="11" t="s">
        <v>34</v>
      </c>
      <c r="H18" s="90">
        <v>3</v>
      </c>
      <c r="I18" s="68" t="s">
        <v>74</v>
      </c>
      <c r="J18" s="64" t="s">
        <v>75</v>
      </c>
    </row>
    <row r="19" spans="1:10" ht="19.5" customHeight="1" x14ac:dyDescent="0.25">
      <c r="A19" s="28">
        <v>9</v>
      </c>
      <c r="B19" s="7" t="s">
        <v>72</v>
      </c>
      <c r="C19" s="61">
        <v>0.58333333333333337</v>
      </c>
      <c r="D19" s="29" t="s">
        <v>76</v>
      </c>
      <c r="E19" s="71" t="s">
        <v>77</v>
      </c>
      <c r="F19" s="92">
        <v>5</v>
      </c>
      <c r="G19" s="11" t="s">
        <v>34</v>
      </c>
      <c r="H19" s="92">
        <v>0</v>
      </c>
      <c r="I19" s="72" t="s">
        <v>78</v>
      </c>
      <c r="J19" s="64" t="s">
        <v>79</v>
      </c>
    </row>
    <row r="20" spans="1:10" ht="19.5" customHeight="1" x14ac:dyDescent="0.25">
      <c r="A20" s="32">
        <v>10</v>
      </c>
      <c r="B20" s="7" t="s">
        <v>72</v>
      </c>
      <c r="C20" s="61">
        <v>0.70833333333333337</v>
      </c>
      <c r="D20" s="33" t="s">
        <v>80</v>
      </c>
      <c r="E20" s="73" t="s">
        <v>81</v>
      </c>
      <c r="F20" s="93">
        <v>1</v>
      </c>
      <c r="G20" s="11" t="s">
        <v>34</v>
      </c>
      <c r="H20" s="93">
        <v>1</v>
      </c>
      <c r="I20" s="74" t="s">
        <v>82</v>
      </c>
      <c r="J20" s="64" t="s">
        <v>83</v>
      </c>
    </row>
    <row r="21" spans="1:10" ht="19.5" customHeight="1" x14ac:dyDescent="0.25">
      <c r="A21" s="28">
        <v>11</v>
      </c>
      <c r="B21" s="7" t="s">
        <v>72</v>
      </c>
      <c r="C21" s="61">
        <v>0.83333333333333337</v>
      </c>
      <c r="D21" s="29" t="s">
        <v>76</v>
      </c>
      <c r="E21" s="71" t="s">
        <v>84</v>
      </c>
      <c r="F21" s="92">
        <v>0</v>
      </c>
      <c r="G21" s="11" t="s">
        <v>34</v>
      </c>
      <c r="H21" s="92">
        <v>2</v>
      </c>
      <c r="I21" s="72" t="s">
        <v>85</v>
      </c>
      <c r="J21" s="64" t="s">
        <v>86</v>
      </c>
    </row>
    <row r="22" spans="1:10" ht="19.5" customHeight="1" x14ac:dyDescent="0.25">
      <c r="A22" s="32">
        <v>12</v>
      </c>
      <c r="B22" s="7" t="s">
        <v>72</v>
      </c>
      <c r="C22" s="61">
        <v>0.95833333333333337</v>
      </c>
      <c r="D22" s="33" t="s">
        <v>80</v>
      </c>
      <c r="E22" s="73" t="s">
        <v>87</v>
      </c>
      <c r="F22" s="93">
        <v>0</v>
      </c>
      <c r="G22" s="11" t="s">
        <v>34</v>
      </c>
      <c r="H22" s="93">
        <v>0</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4</v>
      </c>
      <c r="G24" s="11" t="s">
        <v>34</v>
      </c>
      <c r="H24" s="94">
        <v>0</v>
      </c>
      <c r="I24" s="76" t="s">
        <v>94</v>
      </c>
      <c r="J24" s="64" t="s">
        <v>95</v>
      </c>
    </row>
    <row r="25" spans="1:10" ht="19.5" customHeight="1" x14ac:dyDescent="0.25">
      <c r="A25" s="40">
        <v>14</v>
      </c>
      <c r="B25" s="7" t="s">
        <v>91</v>
      </c>
      <c r="C25" s="61">
        <v>0.66666666666666663</v>
      </c>
      <c r="D25" s="41" t="s">
        <v>96</v>
      </c>
      <c r="E25" s="77" t="s">
        <v>97</v>
      </c>
      <c r="F25" s="95">
        <v>1</v>
      </c>
      <c r="G25" s="11" t="s">
        <v>34</v>
      </c>
      <c r="H25" s="95">
        <v>0</v>
      </c>
      <c r="I25" s="78" t="s">
        <v>98</v>
      </c>
      <c r="J25" s="64" t="s">
        <v>99</v>
      </c>
    </row>
    <row r="26" spans="1:10" ht="19.5" customHeight="1" x14ac:dyDescent="0.25">
      <c r="A26" s="36">
        <v>15</v>
      </c>
      <c r="B26" s="7" t="s">
        <v>91</v>
      </c>
      <c r="C26" s="61">
        <v>0.79166666666666663</v>
      </c>
      <c r="D26" s="37" t="s">
        <v>92</v>
      </c>
      <c r="E26" s="75" t="s">
        <v>100</v>
      </c>
      <c r="F26" s="94">
        <v>1</v>
      </c>
      <c r="G26" s="11" t="s">
        <v>34</v>
      </c>
      <c r="H26" s="94">
        <v>2</v>
      </c>
      <c r="I26" s="76" t="s">
        <v>101</v>
      </c>
      <c r="J26" s="64" t="s">
        <v>102</v>
      </c>
    </row>
    <row r="27" spans="1:10" ht="19.5" customHeight="1" x14ac:dyDescent="0.25">
      <c r="A27" s="40">
        <v>16</v>
      </c>
      <c r="B27" s="7" t="s">
        <v>91</v>
      </c>
      <c r="C27" s="61">
        <v>0.91666666666666663</v>
      </c>
      <c r="D27" s="41" t="s">
        <v>96</v>
      </c>
      <c r="E27" s="77" t="s">
        <v>103</v>
      </c>
      <c r="F27" s="95">
        <v>0</v>
      </c>
      <c r="G27" s="11" t="s">
        <v>34</v>
      </c>
      <c r="H27" s="95">
        <v>1</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2</v>
      </c>
      <c r="G29" s="11" t="s">
        <v>34</v>
      </c>
      <c r="H29" s="96">
        <v>1</v>
      </c>
      <c r="I29" s="80" t="s">
        <v>109</v>
      </c>
      <c r="J29" s="64" t="s">
        <v>67</v>
      </c>
    </row>
    <row r="30" spans="1:10" ht="19.5" customHeight="1" x14ac:dyDescent="0.25">
      <c r="A30" s="44">
        <v>18</v>
      </c>
      <c r="B30" s="7" t="s">
        <v>106</v>
      </c>
      <c r="C30" s="61">
        <v>0.79166666666666663</v>
      </c>
      <c r="D30" s="45" t="s">
        <v>107</v>
      </c>
      <c r="E30" s="79" t="s">
        <v>110</v>
      </c>
      <c r="F30" s="96">
        <v>0</v>
      </c>
      <c r="G30" s="11" t="s">
        <v>34</v>
      </c>
      <c r="H30" s="96">
        <v>3</v>
      </c>
      <c r="I30" s="80" t="s">
        <v>111</v>
      </c>
      <c r="J30" s="64" t="s">
        <v>64</v>
      </c>
    </row>
    <row r="31" spans="1:10" ht="19.5" customHeight="1" x14ac:dyDescent="0.25">
      <c r="A31" s="48">
        <v>19</v>
      </c>
      <c r="B31" s="7" t="s">
        <v>106</v>
      </c>
      <c r="C31" s="61">
        <v>0.91666666666666663</v>
      </c>
      <c r="D31" s="49" t="s">
        <v>112</v>
      </c>
      <c r="E31" s="81" t="s">
        <v>113</v>
      </c>
      <c r="F31" s="97">
        <v>3</v>
      </c>
      <c r="G31" s="11" t="s">
        <v>34</v>
      </c>
      <c r="H31" s="97">
        <v>0</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1</v>
      </c>
      <c r="G33" s="11" t="s">
        <v>34</v>
      </c>
      <c r="H33" s="97">
        <v>1</v>
      </c>
      <c r="I33" s="82" t="s">
        <v>119</v>
      </c>
      <c r="J33" s="64" t="s">
        <v>70</v>
      </c>
    </row>
    <row r="34" spans="1:10" ht="19.5" customHeight="1" x14ac:dyDescent="0.25">
      <c r="A34" s="52">
        <v>21</v>
      </c>
      <c r="B34" s="7" t="s">
        <v>117</v>
      </c>
      <c r="C34" s="61">
        <v>0.58333333333333337</v>
      </c>
      <c r="D34" s="53" t="s">
        <v>120</v>
      </c>
      <c r="E34" s="83" t="s">
        <v>121</v>
      </c>
      <c r="F34" s="98">
        <v>2</v>
      </c>
      <c r="G34" s="11" t="s">
        <v>34</v>
      </c>
      <c r="H34" s="98">
        <v>0</v>
      </c>
      <c r="I34" s="84" t="s">
        <v>122</v>
      </c>
      <c r="J34" s="64" t="s">
        <v>79</v>
      </c>
    </row>
    <row r="35" spans="1:10" ht="19.5" customHeight="1" x14ac:dyDescent="0.25">
      <c r="A35" s="56">
        <v>22</v>
      </c>
      <c r="B35" s="7" t="s">
        <v>117</v>
      </c>
      <c r="C35" s="61">
        <v>0.70833333333333337</v>
      </c>
      <c r="D35" s="57" t="s">
        <v>123</v>
      </c>
      <c r="E35" s="85" t="s">
        <v>124</v>
      </c>
      <c r="F35" s="99">
        <v>1</v>
      </c>
      <c r="G35" s="11" t="s">
        <v>34</v>
      </c>
      <c r="H35" s="99">
        <v>1</v>
      </c>
      <c r="I35" s="86" t="s">
        <v>125</v>
      </c>
      <c r="J35" s="64" t="s">
        <v>83</v>
      </c>
    </row>
    <row r="36" spans="1:10" ht="19.5" customHeight="1" x14ac:dyDescent="0.25">
      <c r="A36" s="56">
        <v>23</v>
      </c>
      <c r="B36" s="7" t="s">
        <v>117</v>
      </c>
      <c r="C36" s="61">
        <v>0.83333333333333337</v>
      </c>
      <c r="D36" s="57" t="s">
        <v>123</v>
      </c>
      <c r="E36" s="85" t="s">
        <v>126</v>
      </c>
      <c r="F36" s="99">
        <v>2</v>
      </c>
      <c r="G36" s="11" t="s">
        <v>34</v>
      </c>
      <c r="H36" s="99">
        <v>1</v>
      </c>
      <c r="I36" s="86" t="s">
        <v>127</v>
      </c>
      <c r="J36" s="64" t="s">
        <v>54</v>
      </c>
    </row>
    <row r="37" spans="1:10" ht="19.5" customHeight="1" x14ac:dyDescent="0.25">
      <c r="A37" s="52">
        <v>24</v>
      </c>
      <c r="B37" s="7" t="s">
        <v>117</v>
      </c>
      <c r="C37" s="61">
        <v>0.95833333333333337</v>
      </c>
      <c r="D37" s="53" t="s">
        <v>120</v>
      </c>
      <c r="E37" s="83" t="s">
        <v>128</v>
      </c>
      <c r="F37" s="98">
        <v>0</v>
      </c>
      <c r="G37" s="11" t="s">
        <v>34</v>
      </c>
      <c r="H37" s="98">
        <v>3</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2</v>
      </c>
      <c r="G39" s="11" t="s">
        <v>34</v>
      </c>
      <c r="H39" s="88">
        <v>0</v>
      </c>
      <c r="I39" s="63" t="s">
        <v>44</v>
      </c>
      <c r="J39" s="64" t="s">
        <v>95</v>
      </c>
    </row>
    <row r="40" spans="1:10" ht="19.5" customHeight="1" x14ac:dyDescent="0.25">
      <c r="A40" s="16">
        <v>26</v>
      </c>
      <c r="B40" s="7" t="s">
        <v>131</v>
      </c>
      <c r="C40" s="61">
        <v>0.66666666666666663</v>
      </c>
      <c r="D40" s="17" t="s">
        <v>51</v>
      </c>
      <c r="E40" s="65" t="s">
        <v>69</v>
      </c>
      <c r="F40" s="89">
        <v>1</v>
      </c>
      <c r="G40" s="11" t="s">
        <v>34</v>
      </c>
      <c r="H40" s="89">
        <v>0</v>
      </c>
      <c r="I40" s="66" t="s">
        <v>53</v>
      </c>
      <c r="J40" s="64" t="s">
        <v>58</v>
      </c>
    </row>
    <row r="41" spans="1:10" ht="19.5" customHeight="1" x14ac:dyDescent="0.25">
      <c r="A41" s="16">
        <v>27</v>
      </c>
      <c r="B41" s="7" t="s">
        <v>131</v>
      </c>
      <c r="C41" s="61">
        <v>0.79166666666666663</v>
      </c>
      <c r="D41" s="17" t="s">
        <v>51</v>
      </c>
      <c r="E41" s="65" t="s">
        <v>52</v>
      </c>
      <c r="F41" s="89">
        <v>2</v>
      </c>
      <c r="G41" s="11" t="s">
        <v>34</v>
      </c>
      <c r="H41" s="89">
        <v>2</v>
      </c>
      <c r="I41" s="66" t="s">
        <v>68</v>
      </c>
      <c r="J41" s="64" t="s">
        <v>75</v>
      </c>
    </row>
    <row r="42" spans="1:10" ht="19.5" customHeight="1" x14ac:dyDescent="0.25">
      <c r="A42" s="6">
        <v>28</v>
      </c>
      <c r="B42" s="7" t="s">
        <v>131</v>
      </c>
      <c r="C42" s="61">
        <v>0.91666666666666663</v>
      </c>
      <c r="D42" s="8" t="s">
        <v>42</v>
      </c>
      <c r="E42" s="62" t="s">
        <v>43</v>
      </c>
      <c r="F42" s="88">
        <v>0</v>
      </c>
      <c r="G42" s="11" t="s">
        <v>34</v>
      </c>
      <c r="H42" s="88">
        <v>2</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0</v>
      </c>
      <c r="I44" s="68" t="s">
        <v>73</v>
      </c>
      <c r="J44" s="64" t="s">
        <v>99</v>
      </c>
    </row>
    <row r="45" spans="1:10" ht="19.5" customHeight="1" x14ac:dyDescent="0.25">
      <c r="A45" s="24">
        <v>30</v>
      </c>
      <c r="B45" s="7" t="s">
        <v>133</v>
      </c>
      <c r="C45" s="61">
        <v>0.79166666666666663</v>
      </c>
      <c r="D45" s="25" t="s">
        <v>61</v>
      </c>
      <c r="E45" s="69" t="s">
        <v>63</v>
      </c>
      <c r="F45" s="91">
        <v>1</v>
      </c>
      <c r="G45" s="11" t="s">
        <v>34</v>
      </c>
      <c r="H45" s="91">
        <v>3</v>
      </c>
      <c r="I45" s="70" t="s">
        <v>66</v>
      </c>
      <c r="J45" s="64" t="s">
        <v>64</v>
      </c>
    </row>
    <row r="46" spans="1:10" ht="19.5" customHeight="1" x14ac:dyDescent="0.25">
      <c r="A46" s="24">
        <v>31</v>
      </c>
      <c r="B46" s="7" t="s">
        <v>133</v>
      </c>
      <c r="C46" s="61">
        <v>0.89583333333333337</v>
      </c>
      <c r="D46" s="25" t="s">
        <v>61</v>
      </c>
      <c r="E46" s="69" t="s">
        <v>65</v>
      </c>
      <c r="F46" s="91">
        <v>4</v>
      </c>
      <c r="G46" s="11" t="s">
        <v>34</v>
      </c>
      <c r="H46" s="91">
        <v>0</v>
      </c>
      <c r="I46" s="70" t="s">
        <v>62</v>
      </c>
      <c r="J46" s="64" t="s">
        <v>86</v>
      </c>
    </row>
    <row r="47" spans="1:10" ht="19.5" customHeight="1" x14ac:dyDescent="0.25">
      <c r="A47" s="20">
        <v>32</v>
      </c>
      <c r="B47" s="7" t="s">
        <v>133</v>
      </c>
      <c r="C47" s="61">
        <v>0.99930555555555556</v>
      </c>
      <c r="D47" s="21" t="s">
        <v>55</v>
      </c>
      <c r="E47" s="67" t="s">
        <v>74</v>
      </c>
      <c r="F47" s="90">
        <v>0</v>
      </c>
      <c r="G47" s="11" t="s">
        <v>34</v>
      </c>
      <c r="H47" s="90">
        <v>1</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1</v>
      </c>
      <c r="G49" s="11" t="s">
        <v>34</v>
      </c>
      <c r="H49" s="93">
        <v>1</v>
      </c>
      <c r="I49" s="74" t="s">
        <v>87</v>
      </c>
      <c r="J49" s="64" t="s">
        <v>79</v>
      </c>
    </row>
    <row r="50" spans="1:10" ht="19.5" customHeight="1" x14ac:dyDescent="0.25">
      <c r="A50" s="28">
        <v>34</v>
      </c>
      <c r="B50" s="7" t="s">
        <v>135</v>
      </c>
      <c r="C50" s="61">
        <v>0.70833333333333337</v>
      </c>
      <c r="D50" s="29" t="s">
        <v>76</v>
      </c>
      <c r="E50" s="71" t="s">
        <v>77</v>
      </c>
      <c r="F50" s="92">
        <v>2</v>
      </c>
      <c r="G50" s="11" t="s">
        <v>34</v>
      </c>
      <c r="H50" s="92">
        <v>1</v>
      </c>
      <c r="I50" s="72" t="s">
        <v>84</v>
      </c>
      <c r="J50" s="64" t="s">
        <v>54</v>
      </c>
    </row>
    <row r="51" spans="1:10" ht="19.5" customHeight="1" x14ac:dyDescent="0.25">
      <c r="A51" s="28">
        <v>35</v>
      </c>
      <c r="B51" s="7" t="s">
        <v>135</v>
      </c>
      <c r="C51" s="61">
        <v>0.875</v>
      </c>
      <c r="D51" s="29" t="s">
        <v>76</v>
      </c>
      <c r="E51" s="71" t="s">
        <v>85</v>
      </c>
      <c r="F51" s="92">
        <v>2</v>
      </c>
      <c r="G51" s="11" t="s">
        <v>34</v>
      </c>
      <c r="H51" s="92">
        <v>0</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1</v>
      </c>
      <c r="G53" s="11" t="s">
        <v>34</v>
      </c>
      <c r="H53" s="93">
        <v>3</v>
      </c>
      <c r="I53" s="74" t="s">
        <v>82</v>
      </c>
      <c r="J53" s="64" t="s">
        <v>89</v>
      </c>
    </row>
    <row r="54" spans="1:10" ht="19.5" customHeight="1" x14ac:dyDescent="0.25">
      <c r="A54" s="36">
        <v>37</v>
      </c>
      <c r="B54" s="7" t="s">
        <v>137</v>
      </c>
      <c r="C54" s="61">
        <v>0.54166666666666663</v>
      </c>
      <c r="D54" s="37" t="s">
        <v>92</v>
      </c>
      <c r="E54" s="75" t="s">
        <v>93</v>
      </c>
      <c r="F54" s="94">
        <v>3</v>
      </c>
      <c r="G54" s="11" t="s">
        <v>34</v>
      </c>
      <c r="H54" s="94">
        <v>1</v>
      </c>
      <c r="I54" s="76" t="s">
        <v>100</v>
      </c>
      <c r="J54" s="64" t="s">
        <v>95</v>
      </c>
    </row>
    <row r="55" spans="1:10" ht="19.5" customHeight="1" x14ac:dyDescent="0.25">
      <c r="A55" s="40">
        <v>38</v>
      </c>
      <c r="B55" s="7" t="s">
        <v>137</v>
      </c>
      <c r="C55" s="61">
        <v>0.66666666666666663</v>
      </c>
      <c r="D55" s="41" t="s">
        <v>96</v>
      </c>
      <c r="E55" s="77" t="s">
        <v>97</v>
      </c>
      <c r="F55" s="95">
        <v>4</v>
      </c>
      <c r="G55" s="11" t="s">
        <v>34</v>
      </c>
      <c r="H55" s="95">
        <v>0</v>
      </c>
      <c r="I55" s="78" t="s">
        <v>103</v>
      </c>
      <c r="J55" s="64" t="s">
        <v>58</v>
      </c>
    </row>
    <row r="56" spans="1:10" ht="19.5" customHeight="1" x14ac:dyDescent="0.25">
      <c r="A56" s="36">
        <v>39</v>
      </c>
      <c r="B56" s="7" t="s">
        <v>137</v>
      </c>
      <c r="C56" s="61">
        <v>0.79166666666666663</v>
      </c>
      <c r="D56" s="37" t="s">
        <v>92</v>
      </c>
      <c r="E56" s="75" t="s">
        <v>101</v>
      </c>
      <c r="F56" s="94">
        <v>3</v>
      </c>
      <c r="G56" s="11" t="s">
        <v>34</v>
      </c>
      <c r="H56" s="94">
        <v>0</v>
      </c>
      <c r="I56" s="76" t="s">
        <v>94</v>
      </c>
      <c r="J56" s="64" t="s">
        <v>102</v>
      </c>
    </row>
    <row r="57" spans="1:10" ht="19.5" customHeight="1" x14ac:dyDescent="0.25">
      <c r="A57" s="40">
        <v>40</v>
      </c>
      <c r="B57" s="7" t="s">
        <v>137</v>
      </c>
      <c r="C57" s="61">
        <v>0.91666666666666663</v>
      </c>
      <c r="D57" s="41" t="s">
        <v>96</v>
      </c>
      <c r="E57" s="77" t="s">
        <v>104</v>
      </c>
      <c r="F57" s="95">
        <v>1</v>
      </c>
      <c r="G57" s="11" t="s">
        <v>34</v>
      </c>
      <c r="H57" s="95">
        <v>1</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c r="G59" s="11" t="s">
        <v>34</v>
      </c>
      <c r="H59" s="97"/>
      <c r="I59" s="82" t="s">
        <v>118</v>
      </c>
      <c r="J59" s="64" t="s">
        <v>83</v>
      </c>
    </row>
    <row r="60" spans="1:10" ht="19.5" customHeight="1" x14ac:dyDescent="0.25">
      <c r="A60" s="44">
        <v>42</v>
      </c>
      <c r="B60" s="7" t="s">
        <v>139</v>
      </c>
      <c r="C60" s="61">
        <v>0.75</v>
      </c>
      <c r="D60" s="45" t="s">
        <v>107</v>
      </c>
      <c r="E60" s="79" t="s">
        <v>108</v>
      </c>
      <c r="F60" s="96"/>
      <c r="G60" s="11" t="s">
        <v>34</v>
      </c>
      <c r="H60" s="96"/>
      <c r="I60" s="80" t="s">
        <v>110</v>
      </c>
      <c r="J60" s="64" t="s">
        <v>86</v>
      </c>
    </row>
    <row r="61" spans="1:10" ht="19.5" customHeight="1" x14ac:dyDescent="0.25">
      <c r="A61" s="44">
        <v>43</v>
      </c>
      <c r="B61" s="7" t="s">
        <v>139</v>
      </c>
      <c r="C61" s="61">
        <v>0.875</v>
      </c>
      <c r="D61" s="45" t="s">
        <v>107</v>
      </c>
      <c r="E61" s="79" t="s">
        <v>111</v>
      </c>
      <c r="F61" s="96"/>
      <c r="G61" s="11" t="s">
        <v>34</v>
      </c>
      <c r="H61" s="96"/>
      <c r="I61" s="80" t="s">
        <v>109</v>
      </c>
      <c r="J61" s="64" t="s">
        <v>67</v>
      </c>
    </row>
    <row r="62" spans="1:10" ht="19.5" customHeight="1" x14ac:dyDescent="0.25">
      <c r="A62" s="48">
        <v>44</v>
      </c>
      <c r="B62" s="7" t="s">
        <v>139</v>
      </c>
      <c r="C62" s="61">
        <v>0.99930555555555556</v>
      </c>
      <c r="D62" s="49" t="s">
        <v>112</v>
      </c>
      <c r="E62" s="81" t="s">
        <v>119</v>
      </c>
      <c r="F62" s="97"/>
      <c r="G62" s="11" t="s">
        <v>34</v>
      </c>
      <c r="H62" s="97"/>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c r="G64" s="11" t="s">
        <v>34</v>
      </c>
      <c r="H64" s="98"/>
      <c r="I64" s="84" t="s">
        <v>128</v>
      </c>
      <c r="J64" s="64" t="s">
        <v>79</v>
      </c>
    </row>
    <row r="65" spans="1:10" ht="19.5" customHeight="1" x14ac:dyDescent="0.25">
      <c r="A65" s="56">
        <v>46</v>
      </c>
      <c r="B65" s="7" t="s">
        <v>141</v>
      </c>
      <c r="C65" s="61">
        <v>0.70833333333333337</v>
      </c>
      <c r="D65" s="57" t="s">
        <v>123</v>
      </c>
      <c r="E65" s="85" t="s">
        <v>124</v>
      </c>
      <c r="F65" s="99"/>
      <c r="G65" s="11" t="s">
        <v>34</v>
      </c>
      <c r="H65" s="99"/>
      <c r="I65" s="86" t="s">
        <v>126</v>
      </c>
      <c r="J65" s="64" t="s">
        <v>64</v>
      </c>
    </row>
    <row r="66" spans="1:10" ht="19.5" customHeight="1" x14ac:dyDescent="0.25">
      <c r="A66" s="56">
        <v>47</v>
      </c>
      <c r="B66" s="7" t="s">
        <v>141</v>
      </c>
      <c r="C66" s="61">
        <v>0.83333333333333337</v>
      </c>
      <c r="D66" s="57" t="s">
        <v>123</v>
      </c>
      <c r="E66" s="85" t="s">
        <v>127</v>
      </c>
      <c r="F66" s="99"/>
      <c r="G66" s="11" t="s">
        <v>34</v>
      </c>
      <c r="H66" s="99"/>
      <c r="I66" s="86" t="s">
        <v>125</v>
      </c>
      <c r="J66" s="64" t="s">
        <v>54</v>
      </c>
    </row>
    <row r="67" spans="1:10" ht="19.5" customHeight="1" x14ac:dyDescent="0.25">
      <c r="A67" s="52">
        <v>48</v>
      </c>
      <c r="B67" s="7" t="s">
        <v>141</v>
      </c>
      <c r="C67" s="61">
        <v>0.95833333333333337</v>
      </c>
      <c r="D67" s="53" t="s">
        <v>120</v>
      </c>
      <c r="E67" s="83" t="s">
        <v>129</v>
      </c>
      <c r="F67" s="98"/>
      <c r="G67" s="11" t="s">
        <v>34</v>
      </c>
      <c r="H67" s="98"/>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c r="G69" s="11" t="s">
        <v>34</v>
      </c>
      <c r="H69" s="89"/>
      <c r="I69" s="66" t="s">
        <v>52</v>
      </c>
      <c r="J69" s="64" t="s">
        <v>75</v>
      </c>
    </row>
    <row r="70" spans="1:10" ht="19.5" customHeight="1" x14ac:dyDescent="0.25">
      <c r="A70" s="16">
        <v>50</v>
      </c>
      <c r="B70" s="7" t="s">
        <v>143</v>
      </c>
      <c r="C70" s="61">
        <v>0.66666666666666663</v>
      </c>
      <c r="D70" s="17" t="s">
        <v>51</v>
      </c>
      <c r="E70" s="65" t="s">
        <v>53</v>
      </c>
      <c r="F70" s="89"/>
      <c r="G70" s="11" t="s">
        <v>34</v>
      </c>
      <c r="H70" s="89"/>
      <c r="I70" s="66" t="s">
        <v>68</v>
      </c>
      <c r="J70" s="64" t="s">
        <v>99</v>
      </c>
    </row>
    <row r="71" spans="1:10" ht="19.5" customHeight="1" x14ac:dyDescent="0.25">
      <c r="A71" s="24">
        <v>51</v>
      </c>
      <c r="B71" s="7" t="s">
        <v>143</v>
      </c>
      <c r="C71" s="61">
        <v>0.79166666666666663</v>
      </c>
      <c r="D71" s="25" t="s">
        <v>61</v>
      </c>
      <c r="E71" s="69" t="s">
        <v>63</v>
      </c>
      <c r="F71" s="91"/>
      <c r="G71" s="11" t="s">
        <v>34</v>
      </c>
      <c r="H71" s="91"/>
      <c r="I71" s="70" t="s">
        <v>65</v>
      </c>
      <c r="J71" s="64" t="s">
        <v>102</v>
      </c>
    </row>
    <row r="72" spans="1:10" ht="19.5" customHeight="1" x14ac:dyDescent="0.25">
      <c r="A72" s="24">
        <v>52</v>
      </c>
      <c r="B72" s="7" t="s">
        <v>143</v>
      </c>
      <c r="C72" s="61">
        <v>0.79166666666666663</v>
      </c>
      <c r="D72" s="25" t="s">
        <v>61</v>
      </c>
      <c r="E72" s="69" t="s">
        <v>66</v>
      </c>
      <c r="F72" s="91"/>
      <c r="G72" s="11" t="s">
        <v>34</v>
      </c>
      <c r="H72" s="91"/>
      <c r="I72" s="70" t="s">
        <v>62</v>
      </c>
      <c r="J72" s="64" t="s">
        <v>95</v>
      </c>
    </row>
    <row r="73" spans="1:10" ht="19.5" customHeight="1" x14ac:dyDescent="0.25">
      <c r="A73" s="6">
        <v>53</v>
      </c>
      <c r="B73" s="7" t="s">
        <v>143</v>
      </c>
      <c r="C73" s="61">
        <v>0.91666666666666663</v>
      </c>
      <c r="D73" s="8" t="s">
        <v>42</v>
      </c>
      <c r="E73" s="62" t="s">
        <v>47</v>
      </c>
      <c r="F73" s="88"/>
      <c r="G73" s="11" t="s">
        <v>34</v>
      </c>
      <c r="H73" s="88"/>
      <c r="I73" s="63" t="s">
        <v>43</v>
      </c>
      <c r="J73" s="64" t="s">
        <v>45</v>
      </c>
    </row>
    <row r="74" spans="1:10" ht="19.5" customHeight="1" x14ac:dyDescent="0.25">
      <c r="A74" s="6">
        <v>54</v>
      </c>
      <c r="B74" s="7" t="s">
        <v>143</v>
      </c>
      <c r="C74" s="61">
        <v>0.91666666666666663</v>
      </c>
      <c r="D74" s="8" t="s">
        <v>42</v>
      </c>
      <c r="E74" s="62" t="s">
        <v>44</v>
      </c>
      <c r="F74" s="88"/>
      <c r="G74" s="11" t="s">
        <v>34</v>
      </c>
      <c r="H74" s="88"/>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c r="G76" s="11" t="s">
        <v>34</v>
      </c>
      <c r="H76" s="92"/>
      <c r="I76" s="72" t="s">
        <v>84</v>
      </c>
      <c r="J76" s="64" t="s">
        <v>86</v>
      </c>
    </row>
    <row r="77" spans="1:10" ht="19.5" customHeight="1" x14ac:dyDescent="0.25">
      <c r="A77" s="28">
        <v>56</v>
      </c>
      <c r="B77" s="7" t="s">
        <v>145</v>
      </c>
      <c r="C77" s="61">
        <v>0.70833333333333337</v>
      </c>
      <c r="D77" s="29" t="s">
        <v>76</v>
      </c>
      <c r="E77" s="71" t="s">
        <v>85</v>
      </c>
      <c r="F77" s="92"/>
      <c r="G77" s="11" t="s">
        <v>34</v>
      </c>
      <c r="H77" s="92"/>
      <c r="I77" s="72" t="s">
        <v>77</v>
      </c>
      <c r="J77" s="64" t="s">
        <v>67</v>
      </c>
    </row>
    <row r="78" spans="1:10" ht="19.5" customHeight="1" x14ac:dyDescent="0.25">
      <c r="A78" s="32">
        <v>57</v>
      </c>
      <c r="B78" s="7" t="s">
        <v>145</v>
      </c>
      <c r="C78" s="61">
        <v>0.83333333333333337</v>
      </c>
      <c r="D78" s="33" t="s">
        <v>80</v>
      </c>
      <c r="E78" s="73" t="s">
        <v>82</v>
      </c>
      <c r="F78" s="93"/>
      <c r="G78" s="11" t="s">
        <v>34</v>
      </c>
      <c r="H78" s="93"/>
      <c r="I78" s="74" t="s">
        <v>87</v>
      </c>
      <c r="J78" s="64" t="s">
        <v>83</v>
      </c>
    </row>
    <row r="79" spans="1:10" ht="19.5" customHeight="1" x14ac:dyDescent="0.25">
      <c r="A79" s="32">
        <v>58</v>
      </c>
      <c r="B79" s="7" t="s">
        <v>145</v>
      </c>
      <c r="C79" s="61">
        <v>0.83333333333333337</v>
      </c>
      <c r="D79" s="33" t="s">
        <v>80</v>
      </c>
      <c r="E79" s="73" t="s">
        <v>88</v>
      </c>
      <c r="F79" s="93"/>
      <c r="G79" s="11" t="s">
        <v>34</v>
      </c>
      <c r="H79" s="93"/>
      <c r="I79" s="74" t="s">
        <v>81</v>
      </c>
      <c r="J79" s="64" t="s">
        <v>115</v>
      </c>
    </row>
    <row r="80" spans="1:10" ht="19.5" customHeight="1" x14ac:dyDescent="0.25">
      <c r="A80" s="20">
        <v>59</v>
      </c>
      <c r="B80" s="7" t="s">
        <v>145</v>
      </c>
      <c r="C80" s="61">
        <v>0.95833333333333337</v>
      </c>
      <c r="D80" s="21" t="s">
        <v>55</v>
      </c>
      <c r="E80" s="67" t="s">
        <v>74</v>
      </c>
      <c r="F80" s="90"/>
      <c r="G80" s="11" t="s">
        <v>34</v>
      </c>
      <c r="H80" s="90"/>
      <c r="I80" s="68" t="s">
        <v>56</v>
      </c>
      <c r="J80" s="64" t="s">
        <v>58</v>
      </c>
    </row>
    <row r="81" spans="1:10" ht="19.5" customHeight="1" x14ac:dyDescent="0.25">
      <c r="A81" s="20">
        <v>60</v>
      </c>
      <c r="B81" s="7" t="s">
        <v>145</v>
      </c>
      <c r="C81" s="61">
        <v>0.95833333333333337</v>
      </c>
      <c r="D81" s="21" t="s">
        <v>55</v>
      </c>
      <c r="E81" s="67" t="s">
        <v>57</v>
      </c>
      <c r="F81" s="90"/>
      <c r="G81" s="11" t="s">
        <v>34</v>
      </c>
      <c r="H81" s="90"/>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c r="G83" s="11" t="s">
        <v>34</v>
      </c>
      <c r="H83" s="96"/>
      <c r="I83" s="80" t="s">
        <v>108</v>
      </c>
      <c r="J83" s="64" t="s">
        <v>64</v>
      </c>
    </row>
    <row r="84" spans="1:10" ht="19.5" customHeight="1" x14ac:dyDescent="0.25">
      <c r="A84" s="44">
        <v>62</v>
      </c>
      <c r="B84" s="7" t="s">
        <v>147</v>
      </c>
      <c r="C84" s="61">
        <v>0.66666666666666663</v>
      </c>
      <c r="D84" s="45" t="s">
        <v>107</v>
      </c>
      <c r="E84" s="79" t="s">
        <v>109</v>
      </c>
      <c r="F84" s="96"/>
      <c r="G84" s="11" t="s">
        <v>34</v>
      </c>
      <c r="H84" s="96"/>
      <c r="I84" s="80" t="s">
        <v>110</v>
      </c>
      <c r="J84" s="64" t="s">
        <v>54</v>
      </c>
    </row>
    <row r="85" spans="1:10" ht="19.5" customHeight="1" x14ac:dyDescent="0.25">
      <c r="A85" s="36">
        <v>63</v>
      </c>
      <c r="B85" s="7" t="s">
        <v>147</v>
      </c>
      <c r="C85" s="61">
        <v>0.875</v>
      </c>
      <c r="D85" s="37" t="s">
        <v>92</v>
      </c>
      <c r="E85" s="75" t="s">
        <v>94</v>
      </c>
      <c r="F85" s="94"/>
      <c r="G85" s="11" t="s">
        <v>34</v>
      </c>
      <c r="H85" s="94"/>
      <c r="I85" s="76" t="s">
        <v>100</v>
      </c>
      <c r="J85" s="64" t="s">
        <v>79</v>
      </c>
    </row>
    <row r="86" spans="1:10" ht="19.5" customHeight="1" x14ac:dyDescent="0.25">
      <c r="A86" s="36">
        <v>64</v>
      </c>
      <c r="B86" s="7" t="s">
        <v>147</v>
      </c>
      <c r="C86" s="61">
        <v>0.875</v>
      </c>
      <c r="D86" s="37" t="s">
        <v>92</v>
      </c>
      <c r="E86" s="75" t="s">
        <v>101</v>
      </c>
      <c r="F86" s="94"/>
      <c r="G86" s="11" t="s">
        <v>34</v>
      </c>
      <c r="H86" s="94"/>
      <c r="I86" s="76" t="s">
        <v>93</v>
      </c>
      <c r="J86" s="64" t="s">
        <v>48</v>
      </c>
    </row>
    <row r="87" spans="1:10" ht="19.5" customHeight="1" x14ac:dyDescent="0.25">
      <c r="A87" s="40">
        <v>65</v>
      </c>
      <c r="B87" s="7" t="s">
        <v>147</v>
      </c>
      <c r="C87" s="61">
        <v>0.99930555555555556</v>
      </c>
      <c r="D87" s="41" t="s">
        <v>96</v>
      </c>
      <c r="E87" s="77" t="s">
        <v>98</v>
      </c>
      <c r="F87" s="95"/>
      <c r="G87" s="11" t="s">
        <v>34</v>
      </c>
      <c r="H87" s="95"/>
      <c r="I87" s="78" t="s">
        <v>103</v>
      </c>
      <c r="J87" s="64" t="s">
        <v>99</v>
      </c>
    </row>
    <row r="88" spans="1:10" ht="19.5" customHeight="1" x14ac:dyDescent="0.25">
      <c r="A88" s="40">
        <v>66</v>
      </c>
      <c r="B88" s="7" t="s">
        <v>147</v>
      </c>
      <c r="C88" s="61">
        <v>0.99930555555555556</v>
      </c>
      <c r="D88" s="41" t="s">
        <v>96</v>
      </c>
      <c r="E88" s="77" t="s">
        <v>104</v>
      </c>
      <c r="F88" s="95"/>
      <c r="G88" s="11" t="s">
        <v>34</v>
      </c>
      <c r="H88" s="95"/>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c r="G90" s="11" t="s">
        <v>34</v>
      </c>
      <c r="H90" s="99"/>
      <c r="I90" s="86" t="s">
        <v>124</v>
      </c>
      <c r="J90" s="64" t="s">
        <v>67</v>
      </c>
    </row>
    <row r="91" spans="1:10" ht="19.5" customHeight="1" x14ac:dyDescent="0.25">
      <c r="A91" s="56">
        <v>68</v>
      </c>
      <c r="B91" s="7" t="s">
        <v>149</v>
      </c>
      <c r="C91" s="61">
        <v>0.75</v>
      </c>
      <c r="D91" s="57" t="s">
        <v>123</v>
      </c>
      <c r="E91" s="85" t="s">
        <v>125</v>
      </c>
      <c r="F91" s="99"/>
      <c r="G91" s="11" t="s">
        <v>34</v>
      </c>
      <c r="H91" s="99"/>
      <c r="I91" s="86" t="s">
        <v>126</v>
      </c>
      <c r="J91" s="64" t="s">
        <v>86</v>
      </c>
    </row>
    <row r="92" spans="1:10" ht="19.5" customHeight="1" x14ac:dyDescent="0.25">
      <c r="A92" s="52">
        <v>69</v>
      </c>
      <c r="B92" s="7" t="s">
        <v>149</v>
      </c>
      <c r="C92" s="61">
        <v>0.85416666666666663</v>
      </c>
      <c r="D92" s="53" t="s">
        <v>120</v>
      </c>
      <c r="E92" s="83" t="s">
        <v>129</v>
      </c>
      <c r="F92" s="98"/>
      <c r="G92" s="11" t="s">
        <v>34</v>
      </c>
      <c r="H92" s="98"/>
      <c r="I92" s="84" t="s">
        <v>121</v>
      </c>
      <c r="J92" s="64" t="s">
        <v>102</v>
      </c>
    </row>
    <row r="93" spans="1:10" ht="19.5" customHeight="1" x14ac:dyDescent="0.25">
      <c r="A93" s="52">
        <v>70</v>
      </c>
      <c r="B93" s="7" t="s">
        <v>149</v>
      </c>
      <c r="C93" s="61">
        <v>0.85416666666666663</v>
      </c>
      <c r="D93" s="53" t="s">
        <v>120</v>
      </c>
      <c r="E93" s="83" t="s">
        <v>122</v>
      </c>
      <c r="F93" s="98"/>
      <c r="G93" s="11" t="s">
        <v>34</v>
      </c>
      <c r="H93" s="98"/>
      <c r="I93" s="84" t="s">
        <v>128</v>
      </c>
      <c r="J93" s="64" t="s">
        <v>95</v>
      </c>
    </row>
    <row r="94" spans="1:10" ht="19.5" customHeight="1" x14ac:dyDescent="0.25">
      <c r="A94" s="48">
        <v>71</v>
      </c>
      <c r="B94" s="7" t="s">
        <v>149</v>
      </c>
      <c r="C94" s="61">
        <v>0.95833333333333337</v>
      </c>
      <c r="D94" s="49" t="s">
        <v>112</v>
      </c>
      <c r="E94" s="81" t="s">
        <v>114</v>
      </c>
      <c r="F94" s="97"/>
      <c r="G94" s="11" t="s">
        <v>34</v>
      </c>
      <c r="H94" s="97"/>
      <c r="I94" s="82" t="s">
        <v>118</v>
      </c>
      <c r="J94" s="64" t="s">
        <v>115</v>
      </c>
    </row>
    <row r="95" spans="1:10" ht="19.5" customHeight="1" x14ac:dyDescent="0.25">
      <c r="A95" s="48">
        <v>72</v>
      </c>
      <c r="B95" s="7" t="s">
        <v>149</v>
      </c>
      <c r="C95" s="61">
        <v>0.95833333333333337</v>
      </c>
      <c r="D95" s="49" t="s">
        <v>112</v>
      </c>
      <c r="E95" s="81" t="s">
        <v>119</v>
      </c>
      <c r="F95" s="97"/>
      <c r="G95" s="11" t="s">
        <v>34</v>
      </c>
      <c r="H95" s="97"/>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39"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38"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2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J1000"/>
  <sheetViews>
    <sheetView topLeftCell="B44" zoomScaleNormal="100" workbookViewId="0">
      <selection activeCell="E2" sqref="E2:J2"/>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175</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2</v>
      </c>
      <c r="G8" s="11" t="s">
        <v>34</v>
      </c>
      <c r="H8" s="88">
        <v>1</v>
      </c>
      <c r="I8" s="63" t="s">
        <v>44</v>
      </c>
      <c r="J8" s="64" t="s">
        <v>45</v>
      </c>
    </row>
    <row r="9" spans="1:10" ht="19.5" customHeight="1" x14ac:dyDescent="0.25">
      <c r="A9" s="6">
        <v>2</v>
      </c>
      <c r="B9" s="7" t="s">
        <v>41</v>
      </c>
      <c r="C9" s="61">
        <v>0.95833333333333337</v>
      </c>
      <c r="D9" s="8" t="s">
        <v>42</v>
      </c>
      <c r="E9" s="62" t="s">
        <v>46</v>
      </c>
      <c r="F9" s="88">
        <v>1</v>
      </c>
      <c r="G9" s="11" t="s">
        <v>34</v>
      </c>
      <c r="H9" s="88">
        <v>0</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1</v>
      </c>
      <c r="G11" s="11" t="s">
        <v>34</v>
      </c>
      <c r="H11" s="89">
        <v>1</v>
      </c>
      <c r="I11" s="66" t="s">
        <v>53</v>
      </c>
      <c r="J11" s="64" t="s">
        <v>54</v>
      </c>
    </row>
    <row r="12" spans="1:10" ht="19.5" customHeight="1" x14ac:dyDescent="0.25">
      <c r="A12" s="20">
        <v>4</v>
      </c>
      <c r="B12" s="7" t="s">
        <v>50</v>
      </c>
      <c r="C12" s="61">
        <v>0.66666666666666663</v>
      </c>
      <c r="D12" s="21" t="s">
        <v>55</v>
      </c>
      <c r="E12" s="67" t="s">
        <v>56</v>
      </c>
      <c r="F12" s="90">
        <v>3</v>
      </c>
      <c r="G12" s="11" t="s">
        <v>34</v>
      </c>
      <c r="H12" s="90">
        <v>2</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2</v>
      </c>
      <c r="G14" s="11" t="s">
        <v>34</v>
      </c>
      <c r="H14" s="91">
        <v>0</v>
      </c>
      <c r="I14" s="70" t="s">
        <v>63</v>
      </c>
      <c r="J14" s="64" t="s">
        <v>64</v>
      </c>
    </row>
    <row r="15" spans="1:10" ht="19.5" customHeight="1" x14ac:dyDescent="0.25">
      <c r="A15" s="24">
        <v>6</v>
      </c>
      <c r="B15" s="7" t="s">
        <v>60</v>
      </c>
      <c r="C15" s="61">
        <v>0.79166666666666663</v>
      </c>
      <c r="D15" s="25" t="s">
        <v>61</v>
      </c>
      <c r="E15" s="69" t="s">
        <v>65</v>
      </c>
      <c r="F15" s="91">
        <v>1</v>
      </c>
      <c r="G15" s="11" t="s">
        <v>34</v>
      </c>
      <c r="H15" s="91">
        <v>1</v>
      </c>
      <c r="I15" s="70" t="s">
        <v>66</v>
      </c>
      <c r="J15" s="64" t="s">
        <v>67</v>
      </c>
    </row>
    <row r="16" spans="1:10" ht="19.5" customHeight="1" x14ac:dyDescent="0.25">
      <c r="A16" s="16">
        <v>7</v>
      </c>
      <c r="B16" s="7" t="s">
        <v>60</v>
      </c>
      <c r="C16" s="61">
        <v>0.66666666666666663</v>
      </c>
      <c r="D16" s="17" t="s">
        <v>51</v>
      </c>
      <c r="E16" s="65" t="s">
        <v>68</v>
      </c>
      <c r="F16" s="89">
        <v>0</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2</v>
      </c>
      <c r="G18" s="11" t="s">
        <v>34</v>
      </c>
      <c r="H18" s="90">
        <v>3</v>
      </c>
      <c r="I18" s="68" t="s">
        <v>74</v>
      </c>
      <c r="J18" s="64" t="s">
        <v>75</v>
      </c>
    </row>
    <row r="19" spans="1:10" ht="19.5" customHeight="1" x14ac:dyDescent="0.25">
      <c r="A19" s="28">
        <v>9</v>
      </c>
      <c r="B19" s="7" t="s">
        <v>72</v>
      </c>
      <c r="C19" s="61">
        <v>0.58333333333333337</v>
      </c>
      <c r="D19" s="29" t="s">
        <v>76</v>
      </c>
      <c r="E19" s="71" t="s">
        <v>77</v>
      </c>
      <c r="F19" s="92">
        <v>4</v>
      </c>
      <c r="G19" s="11" t="s">
        <v>34</v>
      </c>
      <c r="H19" s="92">
        <v>0</v>
      </c>
      <c r="I19" s="72" t="s">
        <v>78</v>
      </c>
      <c r="J19" s="64" t="s">
        <v>79</v>
      </c>
    </row>
    <row r="20" spans="1:10" ht="19.5" customHeight="1" x14ac:dyDescent="0.25">
      <c r="A20" s="32">
        <v>10</v>
      </c>
      <c r="B20" s="7" t="s">
        <v>72</v>
      </c>
      <c r="C20" s="61">
        <v>0.70833333333333337</v>
      </c>
      <c r="D20" s="33" t="s">
        <v>80</v>
      </c>
      <c r="E20" s="73" t="s">
        <v>81</v>
      </c>
      <c r="F20" s="93">
        <v>1</v>
      </c>
      <c r="G20" s="11" t="s">
        <v>34</v>
      </c>
      <c r="H20" s="93">
        <v>1</v>
      </c>
      <c r="I20" s="74" t="s">
        <v>82</v>
      </c>
      <c r="J20" s="64" t="s">
        <v>83</v>
      </c>
    </row>
    <row r="21" spans="1:10" ht="19.5" customHeight="1" x14ac:dyDescent="0.25">
      <c r="A21" s="28">
        <v>11</v>
      </c>
      <c r="B21" s="7" t="s">
        <v>72</v>
      </c>
      <c r="C21" s="61">
        <v>0.83333333333333337</v>
      </c>
      <c r="D21" s="29" t="s">
        <v>76</v>
      </c>
      <c r="E21" s="71" t="s">
        <v>84</v>
      </c>
      <c r="F21" s="92">
        <v>1</v>
      </c>
      <c r="G21" s="11" t="s">
        <v>34</v>
      </c>
      <c r="H21" s="92">
        <v>3</v>
      </c>
      <c r="I21" s="72" t="s">
        <v>85</v>
      </c>
      <c r="J21" s="64" t="s">
        <v>86</v>
      </c>
    </row>
    <row r="22" spans="1:10" ht="19.5" customHeight="1" x14ac:dyDescent="0.25">
      <c r="A22" s="32">
        <v>12</v>
      </c>
      <c r="B22" s="7" t="s">
        <v>72</v>
      </c>
      <c r="C22" s="61">
        <v>0.95833333333333337</v>
      </c>
      <c r="D22" s="33" t="s">
        <v>80</v>
      </c>
      <c r="E22" s="73" t="s">
        <v>87</v>
      </c>
      <c r="F22" s="93">
        <v>2</v>
      </c>
      <c r="G22" s="11" t="s">
        <v>34</v>
      </c>
      <c r="H22" s="93">
        <v>2</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3</v>
      </c>
      <c r="G24" s="11" t="s">
        <v>34</v>
      </c>
      <c r="H24" s="94">
        <v>1</v>
      </c>
      <c r="I24" s="76" t="s">
        <v>94</v>
      </c>
      <c r="J24" s="64" t="s">
        <v>95</v>
      </c>
    </row>
    <row r="25" spans="1:10" ht="19.5" customHeight="1" x14ac:dyDescent="0.25">
      <c r="A25" s="40">
        <v>14</v>
      </c>
      <c r="B25" s="7" t="s">
        <v>91</v>
      </c>
      <c r="C25" s="61">
        <v>0.66666666666666663</v>
      </c>
      <c r="D25" s="41" t="s">
        <v>96</v>
      </c>
      <c r="E25" s="77" t="s">
        <v>97</v>
      </c>
      <c r="F25" s="95">
        <v>2</v>
      </c>
      <c r="G25" s="11" t="s">
        <v>34</v>
      </c>
      <c r="H25" s="95">
        <v>1</v>
      </c>
      <c r="I25" s="78" t="s">
        <v>98</v>
      </c>
      <c r="J25" s="64" t="s">
        <v>99</v>
      </c>
    </row>
    <row r="26" spans="1:10" ht="19.5" customHeight="1" x14ac:dyDescent="0.25">
      <c r="A26" s="36">
        <v>15</v>
      </c>
      <c r="B26" s="7" t="s">
        <v>91</v>
      </c>
      <c r="C26" s="61">
        <v>0.79166666666666663</v>
      </c>
      <c r="D26" s="37" t="s">
        <v>92</v>
      </c>
      <c r="E26" s="75" t="s">
        <v>100</v>
      </c>
      <c r="F26" s="94">
        <v>2</v>
      </c>
      <c r="G26" s="11" t="s">
        <v>34</v>
      </c>
      <c r="H26" s="94">
        <v>2</v>
      </c>
      <c r="I26" s="76" t="s">
        <v>101</v>
      </c>
      <c r="J26" s="64" t="s">
        <v>102</v>
      </c>
    </row>
    <row r="27" spans="1:10" ht="19.5" customHeight="1" x14ac:dyDescent="0.25">
      <c r="A27" s="40">
        <v>16</v>
      </c>
      <c r="B27" s="7" t="s">
        <v>91</v>
      </c>
      <c r="C27" s="61">
        <v>0.91666666666666663</v>
      </c>
      <c r="D27" s="41" t="s">
        <v>96</v>
      </c>
      <c r="E27" s="77" t="s">
        <v>103</v>
      </c>
      <c r="F27" s="95">
        <v>3</v>
      </c>
      <c r="G27" s="11" t="s">
        <v>34</v>
      </c>
      <c r="H27" s="95">
        <v>0</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4</v>
      </c>
      <c r="G29" s="11" t="s">
        <v>34</v>
      </c>
      <c r="H29" s="96">
        <v>2</v>
      </c>
      <c r="I29" s="80" t="s">
        <v>109</v>
      </c>
      <c r="J29" s="64" t="s">
        <v>67</v>
      </c>
    </row>
    <row r="30" spans="1:10" ht="19.5" customHeight="1" x14ac:dyDescent="0.25">
      <c r="A30" s="44">
        <v>18</v>
      </c>
      <c r="B30" s="7" t="s">
        <v>106</v>
      </c>
      <c r="C30" s="61">
        <v>0.79166666666666663</v>
      </c>
      <c r="D30" s="45" t="s">
        <v>107</v>
      </c>
      <c r="E30" s="79" t="s">
        <v>110</v>
      </c>
      <c r="F30" s="96">
        <v>0</v>
      </c>
      <c r="G30" s="11" t="s">
        <v>34</v>
      </c>
      <c r="H30" s="96">
        <v>2</v>
      </c>
      <c r="I30" s="80" t="s">
        <v>111</v>
      </c>
      <c r="J30" s="64" t="s">
        <v>64</v>
      </c>
    </row>
    <row r="31" spans="1:10" ht="19.5" customHeight="1" x14ac:dyDescent="0.25">
      <c r="A31" s="48">
        <v>19</v>
      </c>
      <c r="B31" s="7" t="s">
        <v>106</v>
      </c>
      <c r="C31" s="61">
        <v>0.91666666666666663</v>
      </c>
      <c r="D31" s="49" t="s">
        <v>112</v>
      </c>
      <c r="E31" s="81" t="s">
        <v>113</v>
      </c>
      <c r="F31" s="97">
        <v>2</v>
      </c>
      <c r="G31" s="11" t="s">
        <v>34</v>
      </c>
      <c r="H31" s="97">
        <v>2</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2</v>
      </c>
      <c r="G33" s="11" t="s">
        <v>34</v>
      </c>
      <c r="H33" s="97">
        <v>0</v>
      </c>
      <c r="I33" s="82" t="s">
        <v>119</v>
      </c>
      <c r="J33" s="64" t="s">
        <v>70</v>
      </c>
    </row>
    <row r="34" spans="1:10" ht="19.5" customHeight="1" x14ac:dyDescent="0.25">
      <c r="A34" s="52">
        <v>21</v>
      </c>
      <c r="B34" s="7" t="s">
        <v>117</v>
      </c>
      <c r="C34" s="61">
        <v>0.58333333333333337</v>
      </c>
      <c r="D34" s="53" t="s">
        <v>120</v>
      </c>
      <c r="E34" s="83" t="s">
        <v>121</v>
      </c>
      <c r="F34" s="98">
        <v>3</v>
      </c>
      <c r="G34" s="11" t="s">
        <v>34</v>
      </c>
      <c r="H34" s="98">
        <v>0</v>
      </c>
      <c r="I34" s="84" t="s">
        <v>122</v>
      </c>
      <c r="J34" s="64" t="s">
        <v>79</v>
      </c>
    </row>
    <row r="35" spans="1:10" ht="19.5" customHeight="1" x14ac:dyDescent="0.25">
      <c r="A35" s="56">
        <v>22</v>
      </c>
      <c r="B35" s="7" t="s">
        <v>117</v>
      </c>
      <c r="C35" s="61">
        <v>0.70833333333333337</v>
      </c>
      <c r="D35" s="57" t="s">
        <v>123</v>
      </c>
      <c r="E35" s="85" t="s">
        <v>124</v>
      </c>
      <c r="F35" s="99">
        <v>2</v>
      </c>
      <c r="G35" s="11" t="s">
        <v>34</v>
      </c>
      <c r="H35" s="99">
        <v>2</v>
      </c>
      <c r="I35" s="86" t="s">
        <v>125</v>
      </c>
      <c r="J35" s="64" t="s">
        <v>83</v>
      </c>
    </row>
    <row r="36" spans="1:10" ht="19.5" customHeight="1" x14ac:dyDescent="0.25">
      <c r="A36" s="56">
        <v>23</v>
      </c>
      <c r="B36" s="7" t="s">
        <v>117</v>
      </c>
      <c r="C36" s="61">
        <v>0.83333333333333337</v>
      </c>
      <c r="D36" s="57" t="s">
        <v>123</v>
      </c>
      <c r="E36" s="85" t="s">
        <v>126</v>
      </c>
      <c r="F36" s="99">
        <v>1</v>
      </c>
      <c r="G36" s="11" t="s">
        <v>34</v>
      </c>
      <c r="H36" s="99">
        <v>0</v>
      </c>
      <c r="I36" s="86" t="s">
        <v>127</v>
      </c>
      <c r="J36" s="64" t="s">
        <v>54</v>
      </c>
    </row>
    <row r="37" spans="1:10" ht="19.5" customHeight="1" x14ac:dyDescent="0.25">
      <c r="A37" s="52">
        <v>24</v>
      </c>
      <c r="B37" s="7" t="s">
        <v>117</v>
      </c>
      <c r="C37" s="61">
        <v>0.95833333333333337</v>
      </c>
      <c r="D37" s="53" t="s">
        <v>120</v>
      </c>
      <c r="E37" s="83" t="s">
        <v>128</v>
      </c>
      <c r="F37" s="98">
        <v>0</v>
      </c>
      <c r="G37" s="11" t="s">
        <v>34</v>
      </c>
      <c r="H37" s="98">
        <v>2</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1</v>
      </c>
      <c r="G39" s="11" t="s">
        <v>34</v>
      </c>
      <c r="H39" s="88">
        <v>1</v>
      </c>
      <c r="I39" s="63" t="s">
        <v>44</v>
      </c>
      <c r="J39" s="64" t="s">
        <v>95</v>
      </c>
    </row>
    <row r="40" spans="1:10" ht="19.5" customHeight="1" x14ac:dyDescent="0.25">
      <c r="A40" s="16">
        <v>26</v>
      </c>
      <c r="B40" s="7" t="s">
        <v>131</v>
      </c>
      <c r="C40" s="61">
        <v>0.66666666666666663</v>
      </c>
      <c r="D40" s="17" t="s">
        <v>51</v>
      </c>
      <c r="E40" s="65" t="s">
        <v>69</v>
      </c>
      <c r="F40" s="89">
        <v>1</v>
      </c>
      <c r="G40" s="11" t="s">
        <v>34</v>
      </c>
      <c r="H40" s="89">
        <v>1</v>
      </c>
      <c r="I40" s="66" t="s">
        <v>53</v>
      </c>
      <c r="J40" s="64" t="s">
        <v>58</v>
      </c>
    </row>
    <row r="41" spans="1:10" ht="19.5" customHeight="1" x14ac:dyDescent="0.25">
      <c r="A41" s="16">
        <v>27</v>
      </c>
      <c r="B41" s="7" t="s">
        <v>131</v>
      </c>
      <c r="C41" s="61">
        <v>0.79166666666666663</v>
      </c>
      <c r="D41" s="17" t="s">
        <v>51</v>
      </c>
      <c r="E41" s="65" t="s">
        <v>52</v>
      </c>
      <c r="F41" s="89">
        <v>2</v>
      </c>
      <c r="G41" s="11" t="s">
        <v>34</v>
      </c>
      <c r="H41" s="89">
        <v>2</v>
      </c>
      <c r="I41" s="66" t="s">
        <v>68</v>
      </c>
      <c r="J41" s="64" t="s">
        <v>75</v>
      </c>
    </row>
    <row r="42" spans="1:10" ht="19.5" customHeight="1" x14ac:dyDescent="0.25">
      <c r="A42" s="6">
        <v>28</v>
      </c>
      <c r="B42" s="7" t="s">
        <v>131</v>
      </c>
      <c r="C42" s="61">
        <v>0.91666666666666663</v>
      </c>
      <c r="D42" s="8" t="s">
        <v>42</v>
      </c>
      <c r="E42" s="62" t="s">
        <v>43</v>
      </c>
      <c r="F42" s="88">
        <v>1</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3</v>
      </c>
      <c r="G44" s="11" t="s">
        <v>34</v>
      </c>
      <c r="H44" s="90">
        <v>1</v>
      </c>
      <c r="I44" s="68" t="s">
        <v>73</v>
      </c>
      <c r="J44" s="64" t="s">
        <v>99</v>
      </c>
    </row>
    <row r="45" spans="1:10" ht="19.5" customHeight="1" x14ac:dyDescent="0.25">
      <c r="A45" s="24">
        <v>30</v>
      </c>
      <c r="B45" s="7" t="s">
        <v>133</v>
      </c>
      <c r="C45" s="61">
        <v>0.79166666666666663</v>
      </c>
      <c r="D45" s="25" t="s">
        <v>61</v>
      </c>
      <c r="E45" s="69" t="s">
        <v>63</v>
      </c>
      <c r="F45" s="91">
        <v>0</v>
      </c>
      <c r="G45" s="11" t="s">
        <v>34</v>
      </c>
      <c r="H45" s="91">
        <v>2</v>
      </c>
      <c r="I45" s="70" t="s">
        <v>66</v>
      </c>
      <c r="J45" s="64" t="s">
        <v>64</v>
      </c>
    </row>
    <row r="46" spans="1:10" ht="19.5" customHeight="1" x14ac:dyDescent="0.25">
      <c r="A46" s="24">
        <v>31</v>
      </c>
      <c r="B46" s="7" t="s">
        <v>133</v>
      </c>
      <c r="C46" s="61">
        <v>0.89583333333333337</v>
      </c>
      <c r="D46" s="25" t="s">
        <v>61</v>
      </c>
      <c r="E46" s="69" t="s">
        <v>65</v>
      </c>
      <c r="F46" s="91">
        <v>3</v>
      </c>
      <c r="G46" s="11" t="s">
        <v>34</v>
      </c>
      <c r="H46" s="91">
        <v>0</v>
      </c>
      <c r="I46" s="70" t="s">
        <v>62</v>
      </c>
      <c r="J46" s="64" t="s">
        <v>86</v>
      </c>
    </row>
    <row r="47" spans="1:10" ht="19.5" customHeight="1" x14ac:dyDescent="0.25">
      <c r="A47" s="20">
        <v>32</v>
      </c>
      <c r="B47" s="7" t="s">
        <v>133</v>
      </c>
      <c r="C47" s="61">
        <v>0.99930555555555556</v>
      </c>
      <c r="D47" s="21" t="s">
        <v>55</v>
      </c>
      <c r="E47" s="67" t="s">
        <v>74</v>
      </c>
      <c r="F47" s="90">
        <v>1</v>
      </c>
      <c r="G47" s="11" t="s">
        <v>34</v>
      </c>
      <c r="H47" s="90">
        <v>1</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3</v>
      </c>
      <c r="G49" s="11" t="s">
        <v>34</v>
      </c>
      <c r="H49" s="93">
        <v>2</v>
      </c>
      <c r="I49" s="74" t="s">
        <v>87</v>
      </c>
      <c r="J49" s="64" t="s">
        <v>79</v>
      </c>
    </row>
    <row r="50" spans="1:10" ht="19.5" customHeight="1" x14ac:dyDescent="0.25">
      <c r="A50" s="28">
        <v>34</v>
      </c>
      <c r="B50" s="7" t="s">
        <v>135</v>
      </c>
      <c r="C50" s="61">
        <v>0.70833333333333337</v>
      </c>
      <c r="D50" s="29" t="s">
        <v>76</v>
      </c>
      <c r="E50" s="71" t="s">
        <v>77</v>
      </c>
      <c r="F50" s="92">
        <v>1</v>
      </c>
      <c r="G50" s="11" t="s">
        <v>34</v>
      </c>
      <c r="H50" s="92">
        <v>0</v>
      </c>
      <c r="I50" s="72" t="s">
        <v>84</v>
      </c>
      <c r="J50" s="64" t="s">
        <v>54</v>
      </c>
    </row>
    <row r="51" spans="1:10" ht="19.5" customHeight="1" x14ac:dyDescent="0.25">
      <c r="A51" s="28">
        <v>35</v>
      </c>
      <c r="B51" s="7" t="s">
        <v>135</v>
      </c>
      <c r="C51" s="61">
        <v>0.875</v>
      </c>
      <c r="D51" s="29" t="s">
        <v>76</v>
      </c>
      <c r="E51" s="71" t="s">
        <v>85</v>
      </c>
      <c r="F51" s="92">
        <v>4</v>
      </c>
      <c r="G51" s="11" t="s">
        <v>34</v>
      </c>
      <c r="H51" s="92">
        <v>1</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2</v>
      </c>
      <c r="G53" s="11" t="s">
        <v>34</v>
      </c>
      <c r="H53" s="93">
        <v>2</v>
      </c>
      <c r="I53" s="74" t="s">
        <v>82</v>
      </c>
      <c r="J53" s="64" t="s">
        <v>89</v>
      </c>
    </row>
    <row r="54" spans="1:10" ht="19.5" customHeight="1" x14ac:dyDescent="0.25">
      <c r="A54" s="36">
        <v>37</v>
      </c>
      <c r="B54" s="7" t="s">
        <v>137</v>
      </c>
      <c r="C54" s="61">
        <v>0.54166666666666663</v>
      </c>
      <c r="D54" s="37" t="s">
        <v>92</v>
      </c>
      <c r="E54" s="75" t="s">
        <v>93</v>
      </c>
      <c r="F54" s="94">
        <v>1</v>
      </c>
      <c r="G54" s="11" t="s">
        <v>34</v>
      </c>
      <c r="H54" s="94">
        <v>0</v>
      </c>
      <c r="I54" s="76" t="s">
        <v>100</v>
      </c>
      <c r="J54" s="64" t="s">
        <v>95</v>
      </c>
    </row>
    <row r="55" spans="1:10" ht="19.5" customHeight="1" x14ac:dyDescent="0.25">
      <c r="A55" s="40">
        <v>38</v>
      </c>
      <c r="B55" s="7" t="s">
        <v>137</v>
      </c>
      <c r="C55" s="61">
        <v>0.66666666666666663</v>
      </c>
      <c r="D55" s="41" t="s">
        <v>96</v>
      </c>
      <c r="E55" s="77" t="s">
        <v>97</v>
      </c>
      <c r="F55" s="95">
        <v>2</v>
      </c>
      <c r="G55" s="11" t="s">
        <v>34</v>
      </c>
      <c r="H55" s="95">
        <v>0</v>
      </c>
      <c r="I55" s="78" t="s">
        <v>103</v>
      </c>
      <c r="J55" s="64" t="s">
        <v>58</v>
      </c>
    </row>
    <row r="56" spans="1:10" ht="19.5" customHeight="1" x14ac:dyDescent="0.25">
      <c r="A56" s="36">
        <v>39</v>
      </c>
      <c r="B56" s="7" t="s">
        <v>137</v>
      </c>
      <c r="C56" s="61">
        <v>0.79166666666666663</v>
      </c>
      <c r="D56" s="37" t="s">
        <v>92</v>
      </c>
      <c r="E56" s="75" t="s">
        <v>101</v>
      </c>
      <c r="F56" s="94">
        <v>1</v>
      </c>
      <c r="G56" s="11" t="s">
        <v>34</v>
      </c>
      <c r="H56" s="94">
        <v>0</v>
      </c>
      <c r="I56" s="76" t="s">
        <v>94</v>
      </c>
      <c r="J56" s="64" t="s">
        <v>102</v>
      </c>
    </row>
    <row r="57" spans="1:10" ht="19.5" customHeight="1" x14ac:dyDescent="0.25">
      <c r="A57" s="40">
        <v>40</v>
      </c>
      <c r="B57" s="7" t="s">
        <v>137</v>
      </c>
      <c r="C57" s="61">
        <v>0.91666666666666663</v>
      </c>
      <c r="D57" s="41" t="s">
        <v>96</v>
      </c>
      <c r="E57" s="77" t="s">
        <v>104</v>
      </c>
      <c r="F57" s="95">
        <v>0</v>
      </c>
      <c r="G57" s="11" t="s">
        <v>34</v>
      </c>
      <c r="H57" s="95">
        <v>3</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2</v>
      </c>
      <c r="G59" s="11" t="s">
        <v>34</v>
      </c>
      <c r="H59" s="97">
        <v>0</v>
      </c>
      <c r="I59" s="82" t="s">
        <v>118</v>
      </c>
      <c r="J59" s="64" t="s">
        <v>83</v>
      </c>
    </row>
    <row r="60" spans="1:10" ht="19.5" customHeight="1" x14ac:dyDescent="0.25">
      <c r="A60" s="44">
        <v>42</v>
      </c>
      <c r="B60" s="7" t="s">
        <v>139</v>
      </c>
      <c r="C60" s="61">
        <v>0.75</v>
      </c>
      <c r="D60" s="45" t="s">
        <v>107</v>
      </c>
      <c r="E60" s="79" t="s">
        <v>108</v>
      </c>
      <c r="F60" s="96">
        <v>3</v>
      </c>
      <c r="G60" s="11" t="s">
        <v>34</v>
      </c>
      <c r="H60" s="96">
        <v>0</v>
      </c>
      <c r="I60" s="80" t="s">
        <v>110</v>
      </c>
      <c r="J60" s="64" t="s">
        <v>86</v>
      </c>
    </row>
    <row r="61" spans="1:10" ht="19.5" customHeight="1" x14ac:dyDescent="0.25">
      <c r="A61" s="44">
        <v>43</v>
      </c>
      <c r="B61" s="7" t="s">
        <v>139</v>
      </c>
      <c r="C61" s="61">
        <v>0.875</v>
      </c>
      <c r="D61" s="45" t="s">
        <v>107</v>
      </c>
      <c r="E61" s="79" t="s">
        <v>111</v>
      </c>
      <c r="F61" s="96">
        <v>1</v>
      </c>
      <c r="G61" s="11" t="s">
        <v>34</v>
      </c>
      <c r="H61" s="96">
        <v>1</v>
      </c>
      <c r="I61" s="80" t="s">
        <v>109</v>
      </c>
      <c r="J61" s="64" t="s">
        <v>67</v>
      </c>
    </row>
    <row r="62" spans="1:10" ht="19.5" customHeight="1" x14ac:dyDescent="0.25">
      <c r="A62" s="48">
        <v>44</v>
      </c>
      <c r="B62" s="7" t="s">
        <v>139</v>
      </c>
      <c r="C62" s="61">
        <v>0.99930555555555556</v>
      </c>
      <c r="D62" s="49" t="s">
        <v>112</v>
      </c>
      <c r="E62" s="81" t="s">
        <v>119</v>
      </c>
      <c r="F62" s="97">
        <v>1</v>
      </c>
      <c r="G62" s="11" t="s">
        <v>34</v>
      </c>
      <c r="H62" s="97">
        <v>4</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2</v>
      </c>
      <c r="G64" s="11" t="s">
        <v>34</v>
      </c>
      <c r="H64" s="98">
        <v>1</v>
      </c>
      <c r="I64" s="84" t="s">
        <v>128</v>
      </c>
      <c r="J64" s="64" t="s">
        <v>79</v>
      </c>
    </row>
    <row r="65" spans="1:10" ht="19.5" customHeight="1" x14ac:dyDescent="0.25">
      <c r="A65" s="56">
        <v>46</v>
      </c>
      <c r="B65" s="7" t="s">
        <v>141</v>
      </c>
      <c r="C65" s="61">
        <v>0.70833333333333337</v>
      </c>
      <c r="D65" s="57" t="s">
        <v>123</v>
      </c>
      <c r="E65" s="85" t="s">
        <v>124</v>
      </c>
      <c r="F65" s="99">
        <v>3</v>
      </c>
      <c r="G65" s="11" t="s">
        <v>34</v>
      </c>
      <c r="H65" s="99">
        <v>2</v>
      </c>
      <c r="I65" s="86" t="s">
        <v>126</v>
      </c>
      <c r="J65" s="64" t="s">
        <v>64</v>
      </c>
    </row>
    <row r="66" spans="1:10" ht="19.5" customHeight="1" x14ac:dyDescent="0.25">
      <c r="A66" s="56">
        <v>47</v>
      </c>
      <c r="B66" s="7" t="s">
        <v>141</v>
      </c>
      <c r="C66" s="61">
        <v>0.83333333333333337</v>
      </c>
      <c r="D66" s="57" t="s">
        <v>123</v>
      </c>
      <c r="E66" s="85" t="s">
        <v>127</v>
      </c>
      <c r="F66" s="99">
        <v>0</v>
      </c>
      <c r="G66" s="11" t="s">
        <v>34</v>
      </c>
      <c r="H66" s="99">
        <v>1</v>
      </c>
      <c r="I66" s="86" t="s">
        <v>125</v>
      </c>
      <c r="J66" s="64" t="s">
        <v>54</v>
      </c>
    </row>
    <row r="67" spans="1:10" ht="19.5" customHeight="1" x14ac:dyDescent="0.25">
      <c r="A67" s="52">
        <v>48</v>
      </c>
      <c r="B67" s="7" t="s">
        <v>141</v>
      </c>
      <c r="C67" s="61">
        <v>0.95833333333333337</v>
      </c>
      <c r="D67" s="53" t="s">
        <v>120</v>
      </c>
      <c r="E67" s="83" t="s">
        <v>129</v>
      </c>
      <c r="F67" s="98">
        <v>1</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2</v>
      </c>
      <c r="G69" s="11" t="s">
        <v>34</v>
      </c>
      <c r="H69" s="89">
        <v>2</v>
      </c>
      <c r="I69" s="66" t="s">
        <v>52</v>
      </c>
      <c r="J69" s="64" t="s">
        <v>75</v>
      </c>
    </row>
    <row r="70" spans="1:10" ht="19.5" customHeight="1" x14ac:dyDescent="0.25">
      <c r="A70" s="16">
        <v>50</v>
      </c>
      <c r="B70" s="7" t="s">
        <v>143</v>
      </c>
      <c r="C70" s="61">
        <v>0.66666666666666663</v>
      </c>
      <c r="D70" s="17" t="s">
        <v>51</v>
      </c>
      <c r="E70" s="65" t="s">
        <v>53</v>
      </c>
      <c r="F70" s="89">
        <v>0</v>
      </c>
      <c r="G70" s="11" t="s">
        <v>34</v>
      </c>
      <c r="H70" s="89">
        <v>0</v>
      </c>
      <c r="I70" s="66" t="s">
        <v>68</v>
      </c>
      <c r="J70" s="64" t="s">
        <v>99</v>
      </c>
    </row>
    <row r="71" spans="1:10" ht="19.5" customHeight="1" x14ac:dyDescent="0.25">
      <c r="A71" s="24">
        <v>51</v>
      </c>
      <c r="B71" s="7" t="s">
        <v>143</v>
      </c>
      <c r="C71" s="61">
        <v>0.79166666666666663</v>
      </c>
      <c r="D71" s="25" t="s">
        <v>61</v>
      </c>
      <c r="E71" s="69" t="s">
        <v>63</v>
      </c>
      <c r="F71" s="91">
        <v>0</v>
      </c>
      <c r="G71" s="11" t="s">
        <v>34</v>
      </c>
      <c r="H71" s="91">
        <v>4</v>
      </c>
      <c r="I71" s="70" t="s">
        <v>65</v>
      </c>
      <c r="J71" s="64" t="s">
        <v>102</v>
      </c>
    </row>
    <row r="72" spans="1:10" ht="19.5" customHeight="1" x14ac:dyDescent="0.25">
      <c r="A72" s="24">
        <v>52</v>
      </c>
      <c r="B72" s="7" t="s">
        <v>143</v>
      </c>
      <c r="C72" s="61">
        <v>0.79166666666666663</v>
      </c>
      <c r="D72" s="25" t="s">
        <v>61</v>
      </c>
      <c r="E72" s="69" t="s">
        <v>66</v>
      </c>
      <c r="F72" s="91">
        <v>2</v>
      </c>
      <c r="G72" s="11" t="s">
        <v>34</v>
      </c>
      <c r="H72" s="91">
        <v>1</v>
      </c>
      <c r="I72" s="70" t="s">
        <v>62</v>
      </c>
      <c r="J72" s="64" t="s">
        <v>95</v>
      </c>
    </row>
    <row r="73" spans="1:10" ht="19.5" customHeight="1" x14ac:dyDescent="0.25">
      <c r="A73" s="6">
        <v>53</v>
      </c>
      <c r="B73" s="7" t="s">
        <v>143</v>
      </c>
      <c r="C73" s="61">
        <v>0.91666666666666663</v>
      </c>
      <c r="D73" s="8" t="s">
        <v>42</v>
      </c>
      <c r="E73" s="62" t="s">
        <v>47</v>
      </c>
      <c r="F73" s="88">
        <v>0</v>
      </c>
      <c r="G73" s="11" t="s">
        <v>34</v>
      </c>
      <c r="H73" s="88">
        <v>1</v>
      </c>
      <c r="I73" s="63" t="s">
        <v>43</v>
      </c>
      <c r="J73" s="64" t="s">
        <v>45</v>
      </c>
    </row>
    <row r="74" spans="1:10" ht="19.5" customHeight="1" x14ac:dyDescent="0.25">
      <c r="A74" s="6">
        <v>54</v>
      </c>
      <c r="B74" s="7" t="s">
        <v>143</v>
      </c>
      <c r="C74" s="61">
        <v>0.91666666666666663</v>
      </c>
      <c r="D74" s="8" t="s">
        <v>42</v>
      </c>
      <c r="E74" s="62" t="s">
        <v>44</v>
      </c>
      <c r="F74" s="88">
        <v>0</v>
      </c>
      <c r="G74" s="11" t="s">
        <v>34</v>
      </c>
      <c r="H74" s="88">
        <v>3</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1</v>
      </c>
      <c r="G76" s="11" t="s">
        <v>34</v>
      </c>
      <c r="H76" s="92">
        <v>4</v>
      </c>
      <c r="I76" s="72" t="s">
        <v>84</v>
      </c>
      <c r="J76" s="64" t="s">
        <v>86</v>
      </c>
    </row>
    <row r="77" spans="1:10" ht="19.5" customHeight="1" x14ac:dyDescent="0.25">
      <c r="A77" s="28">
        <v>56</v>
      </c>
      <c r="B77" s="7" t="s">
        <v>145</v>
      </c>
      <c r="C77" s="61">
        <v>0.70833333333333337</v>
      </c>
      <c r="D77" s="29" t="s">
        <v>76</v>
      </c>
      <c r="E77" s="71" t="s">
        <v>85</v>
      </c>
      <c r="F77" s="92">
        <v>2</v>
      </c>
      <c r="G77" s="11" t="s">
        <v>34</v>
      </c>
      <c r="H77" s="92">
        <v>2</v>
      </c>
      <c r="I77" s="72" t="s">
        <v>77</v>
      </c>
      <c r="J77" s="64" t="s">
        <v>67</v>
      </c>
    </row>
    <row r="78" spans="1:10" ht="19.5" customHeight="1" x14ac:dyDescent="0.25">
      <c r="A78" s="32">
        <v>57</v>
      </c>
      <c r="B78" s="7" t="s">
        <v>145</v>
      </c>
      <c r="C78" s="61">
        <v>0.83333333333333337</v>
      </c>
      <c r="D78" s="33" t="s">
        <v>80</v>
      </c>
      <c r="E78" s="73" t="s">
        <v>82</v>
      </c>
      <c r="F78" s="93">
        <v>1</v>
      </c>
      <c r="G78" s="11" t="s">
        <v>34</v>
      </c>
      <c r="H78" s="93">
        <v>1</v>
      </c>
      <c r="I78" s="74" t="s">
        <v>87</v>
      </c>
      <c r="J78" s="64" t="s">
        <v>83</v>
      </c>
    </row>
    <row r="79" spans="1:10" ht="19.5" customHeight="1" x14ac:dyDescent="0.25">
      <c r="A79" s="32">
        <v>58</v>
      </c>
      <c r="B79" s="7" t="s">
        <v>145</v>
      </c>
      <c r="C79" s="61">
        <v>0.83333333333333337</v>
      </c>
      <c r="D79" s="33" t="s">
        <v>80</v>
      </c>
      <c r="E79" s="73" t="s">
        <v>88</v>
      </c>
      <c r="F79" s="93">
        <v>1</v>
      </c>
      <c r="G79" s="11" t="s">
        <v>34</v>
      </c>
      <c r="H79" s="93">
        <v>3</v>
      </c>
      <c r="I79" s="74" t="s">
        <v>81</v>
      </c>
      <c r="J79" s="64" t="s">
        <v>115</v>
      </c>
    </row>
    <row r="80" spans="1:10" ht="19.5" customHeight="1" x14ac:dyDescent="0.25">
      <c r="A80" s="20">
        <v>59</v>
      </c>
      <c r="B80" s="7" t="s">
        <v>145</v>
      </c>
      <c r="C80" s="61">
        <v>0.95833333333333337</v>
      </c>
      <c r="D80" s="21" t="s">
        <v>55</v>
      </c>
      <c r="E80" s="67" t="s">
        <v>74</v>
      </c>
      <c r="F80" s="90">
        <v>2</v>
      </c>
      <c r="G80" s="11" t="s">
        <v>34</v>
      </c>
      <c r="H80" s="90">
        <v>2</v>
      </c>
      <c r="I80" s="68" t="s">
        <v>56</v>
      </c>
      <c r="J80" s="64" t="s">
        <v>58</v>
      </c>
    </row>
    <row r="81" spans="1:10" ht="19.5" customHeight="1" x14ac:dyDescent="0.25">
      <c r="A81" s="20">
        <v>60</v>
      </c>
      <c r="B81" s="7" t="s">
        <v>145</v>
      </c>
      <c r="C81" s="61">
        <v>0.95833333333333337</v>
      </c>
      <c r="D81" s="21" t="s">
        <v>55</v>
      </c>
      <c r="E81" s="67" t="s">
        <v>57</v>
      </c>
      <c r="F81" s="90">
        <v>2</v>
      </c>
      <c r="G81" s="11" t="s">
        <v>34</v>
      </c>
      <c r="H81" s="90">
        <v>0</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v>2</v>
      </c>
      <c r="G83" s="11" t="s">
        <v>34</v>
      </c>
      <c r="H83" s="96">
        <v>2</v>
      </c>
      <c r="I83" s="80" t="s">
        <v>108</v>
      </c>
      <c r="J83" s="64" t="s">
        <v>64</v>
      </c>
    </row>
    <row r="84" spans="1:10" ht="19.5" customHeight="1" x14ac:dyDescent="0.25">
      <c r="A84" s="44">
        <v>62</v>
      </c>
      <c r="B84" s="7" t="s">
        <v>147</v>
      </c>
      <c r="C84" s="61">
        <v>0.66666666666666663</v>
      </c>
      <c r="D84" s="45" t="s">
        <v>107</v>
      </c>
      <c r="E84" s="79" t="s">
        <v>109</v>
      </c>
      <c r="F84" s="96">
        <v>3</v>
      </c>
      <c r="G84" s="11" t="s">
        <v>34</v>
      </c>
      <c r="H84" s="96">
        <v>1</v>
      </c>
      <c r="I84" s="80" t="s">
        <v>110</v>
      </c>
      <c r="J84" s="64" t="s">
        <v>54</v>
      </c>
    </row>
    <row r="85" spans="1:10" ht="19.5" customHeight="1" x14ac:dyDescent="0.25">
      <c r="A85" s="36">
        <v>63</v>
      </c>
      <c r="B85" s="7" t="s">
        <v>147</v>
      </c>
      <c r="C85" s="61">
        <v>0.875</v>
      </c>
      <c r="D85" s="37" t="s">
        <v>92</v>
      </c>
      <c r="E85" s="75" t="s">
        <v>94</v>
      </c>
      <c r="F85" s="94">
        <v>0</v>
      </c>
      <c r="G85" s="11" t="s">
        <v>34</v>
      </c>
      <c r="H85" s="94">
        <v>3</v>
      </c>
      <c r="I85" s="76" t="s">
        <v>100</v>
      </c>
      <c r="J85" s="64" t="s">
        <v>79</v>
      </c>
    </row>
    <row r="86" spans="1:10" ht="19.5" customHeight="1" x14ac:dyDescent="0.25">
      <c r="A86" s="36">
        <v>64</v>
      </c>
      <c r="B86" s="7" t="s">
        <v>147</v>
      </c>
      <c r="C86" s="61">
        <v>0.875</v>
      </c>
      <c r="D86" s="37" t="s">
        <v>92</v>
      </c>
      <c r="E86" s="75" t="s">
        <v>101</v>
      </c>
      <c r="F86" s="94">
        <v>1</v>
      </c>
      <c r="G86" s="11" t="s">
        <v>34</v>
      </c>
      <c r="H86" s="94">
        <v>1</v>
      </c>
      <c r="I86" s="76" t="s">
        <v>93</v>
      </c>
      <c r="J86" s="64" t="s">
        <v>48</v>
      </c>
    </row>
    <row r="87" spans="1:10" ht="19.5" customHeight="1" x14ac:dyDescent="0.25">
      <c r="A87" s="40">
        <v>65</v>
      </c>
      <c r="B87" s="7" t="s">
        <v>147</v>
      </c>
      <c r="C87" s="61">
        <v>0.99930555555555556</v>
      </c>
      <c r="D87" s="41" t="s">
        <v>96</v>
      </c>
      <c r="E87" s="77" t="s">
        <v>98</v>
      </c>
      <c r="F87" s="95">
        <v>2</v>
      </c>
      <c r="G87" s="11" t="s">
        <v>34</v>
      </c>
      <c r="H87" s="95">
        <v>1</v>
      </c>
      <c r="I87" s="78" t="s">
        <v>103</v>
      </c>
      <c r="J87" s="64" t="s">
        <v>99</v>
      </c>
    </row>
    <row r="88" spans="1:10" ht="19.5" customHeight="1" x14ac:dyDescent="0.25">
      <c r="A88" s="40">
        <v>66</v>
      </c>
      <c r="B88" s="7" t="s">
        <v>147</v>
      </c>
      <c r="C88" s="61">
        <v>0.99930555555555556</v>
      </c>
      <c r="D88" s="41" t="s">
        <v>96</v>
      </c>
      <c r="E88" s="77" t="s">
        <v>104</v>
      </c>
      <c r="F88" s="95">
        <v>0</v>
      </c>
      <c r="G88" s="11" t="s">
        <v>34</v>
      </c>
      <c r="H88" s="95">
        <v>2</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1</v>
      </c>
      <c r="G90" s="11" t="s">
        <v>34</v>
      </c>
      <c r="H90" s="99">
        <v>4</v>
      </c>
      <c r="I90" s="86" t="s">
        <v>124</v>
      </c>
      <c r="J90" s="64" t="s">
        <v>67</v>
      </c>
    </row>
    <row r="91" spans="1:10" ht="19.5" customHeight="1" x14ac:dyDescent="0.25">
      <c r="A91" s="56">
        <v>68</v>
      </c>
      <c r="B91" s="7" t="s">
        <v>149</v>
      </c>
      <c r="C91" s="61">
        <v>0.75</v>
      </c>
      <c r="D91" s="57" t="s">
        <v>123</v>
      </c>
      <c r="E91" s="85" t="s">
        <v>125</v>
      </c>
      <c r="F91" s="99">
        <v>2</v>
      </c>
      <c r="G91" s="11" t="s">
        <v>34</v>
      </c>
      <c r="H91" s="99">
        <v>2</v>
      </c>
      <c r="I91" s="86" t="s">
        <v>126</v>
      </c>
      <c r="J91" s="64" t="s">
        <v>86</v>
      </c>
    </row>
    <row r="92" spans="1:10" ht="19.5" customHeight="1" x14ac:dyDescent="0.25">
      <c r="A92" s="52">
        <v>69</v>
      </c>
      <c r="B92" s="7" t="s">
        <v>149</v>
      </c>
      <c r="C92" s="61">
        <v>0.85416666666666663</v>
      </c>
      <c r="D92" s="53" t="s">
        <v>120</v>
      </c>
      <c r="E92" s="83" t="s">
        <v>129</v>
      </c>
      <c r="F92" s="98">
        <v>1</v>
      </c>
      <c r="G92" s="11" t="s">
        <v>34</v>
      </c>
      <c r="H92" s="98">
        <v>1</v>
      </c>
      <c r="I92" s="84" t="s">
        <v>121</v>
      </c>
      <c r="J92" s="64" t="s">
        <v>102</v>
      </c>
    </row>
    <row r="93" spans="1:10" ht="19.5" customHeight="1" x14ac:dyDescent="0.25">
      <c r="A93" s="52">
        <v>70</v>
      </c>
      <c r="B93" s="7" t="s">
        <v>149</v>
      </c>
      <c r="C93" s="61">
        <v>0.85416666666666663</v>
      </c>
      <c r="D93" s="53" t="s">
        <v>120</v>
      </c>
      <c r="E93" s="83" t="s">
        <v>122</v>
      </c>
      <c r="F93" s="98">
        <v>2</v>
      </c>
      <c r="G93" s="11" t="s">
        <v>34</v>
      </c>
      <c r="H93" s="98">
        <v>1</v>
      </c>
      <c r="I93" s="84" t="s">
        <v>128</v>
      </c>
      <c r="J93" s="64" t="s">
        <v>95</v>
      </c>
    </row>
    <row r="94" spans="1:10" ht="19.5" customHeight="1" x14ac:dyDescent="0.25">
      <c r="A94" s="48">
        <v>71</v>
      </c>
      <c r="B94" s="7" t="s">
        <v>149</v>
      </c>
      <c r="C94" s="61">
        <v>0.95833333333333337</v>
      </c>
      <c r="D94" s="49" t="s">
        <v>112</v>
      </c>
      <c r="E94" s="81" t="s">
        <v>114</v>
      </c>
      <c r="F94" s="97">
        <v>2</v>
      </c>
      <c r="G94" s="11" t="s">
        <v>34</v>
      </c>
      <c r="H94" s="97">
        <v>1</v>
      </c>
      <c r="I94" s="82" t="s">
        <v>118</v>
      </c>
      <c r="J94" s="64" t="s">
        <v>115</v>
      </c>
    </row>
    <row r="95" spans="1:10" ht="19.5" customHeight="1" x14ac:dyDescent="0.25">
      <c r="A95" s="48">
        <v>72</v>
      </c>
      <c r="B95" s="7" t="s">
        <v>149</v>
      </c>
      <c r="C95" s="61">
        <v>0.95833333333333337</v>
      </c>
      <c r="D95" s="49" t="s">
        <v>112</v>
      </c>
      <c r="E95" s="81" t="s">
        <v>119</v>
      </c>
      <c r="F95" s="97">
        <v>1</v>
      </c>
      <c r="G95" s="11" t="s">
        <v>34</v>
      </c>
      <c r="H95" s="97">
        <v>5</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37"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36"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3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J1000"/>
  <sheetViews>
    <sheetView zoomScaleNormal="100" workbookViewId="0">
      <selection activeCell="E2" sqref="E2:J2"/>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15</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1</v>
      </c>
      <c r="G8" s="11" t="s">
        <v>34</v>
      </c>
      <c r="H8" s="88">
        <v>0</v>
      </c>
      <c r="I8" s="63" t="s">
        <v>44</v>
      </c>
      <c r="J8" s="64" t="s">
        <v>45</v>
      </c>
    </row>
    <row r="9" spans="1:10" ht="19.5" customHeight="1" x14ac:dyDescent="0.25">
      <c r="A9" s="6">
        <v>2</v>
      </c>
      <c r="B9" s="7" t="s">
        <v>41</v>
      </c>
      <c r="C9" s="61">
        <v>0.95833333333333337</v>
      </c>
      <c r="D9" s="8" t="s">
        <v>42</v>
      </c>
      <c r="E9" s="62" t="s">
        <v>46</v>
      </c>
      <c r="F9" s="88">
        <v>2</v>
      </c>
      <c r="G9" s="11" t="s">
        <v>34</v>
      </c>
      <c r="H9" s="88">
        <v>0</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3</v>
      </c>
      <c r="G11" s="11" t="s">
        <v>34</v>
      </c>
      <c r="H11" s="89">
        <v>2</v>
      </c>
      <c r="I11" s="66" t="s">
        <v>53</v>
      </c>
      <c r="J11" s="64" t="s">
        <v>54</v>
      </c>
    </row>
    <row r="12" spans="1:10" ht="19.5" customHeight="1" x14ac:dyDescent="0.25">
      <c r="A12" s="20">
        <v>4</v>
      </c>
      <c r="B12" s="7" t="s">
        <v>50</v>
      </c>
      <c r="C12" s="61">
        <v>0.66666666666666663</v>
      </c>
      <c r="D12" s="21" t="s">
        <v>55</v>
      </c>
      <c r="E12" s="67" t="s">
        <v>56</v>
      </c>
      <c r="F12" s="90">
        <v>0</v>
      </c>
      <c r="G12" s="11" t="s">
        <v>34</v>
      </c>
      <c r="H12" s="90">
        <v>3</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1</v>
      </c>
      <c r="G14" s="11" t="s">
        <v>34</v>
      </c>
      <c r="H14" s="91">
        <v>1</v>
      </c>
      <c r="I14" s="70" t="s">
        <v>63</v>
      </c>
      <c r="J14" s="64" t="s">
        <v>64</v>
      </c>
    </row>
    <row r="15" spans="1:10" ht="19.5" customHeight="1" x14ac:dyDescent="0.25">
      <c r="A15" s="24">
        <v>6</v>
      </c>
      <c r="B15" s="7" t="s">
        <v>60</v>
      </c>
      <c r="C15" s="61">
        <v>0.79166666666666663</v>
      </c>
      <c r="D15" s="25" t="s">
        <v>61</v>
      </c>
      <c r="E15" s="69" t="s">
        <v>65</v>
      </c>
      <c r="F15" s="91">
        <v>3</v>
      </c>
      <c r="G15" s="11" t="s">
        <v>34</v>
      </c>
      <c r="H15" s="91">
        <v>0</v>
      </c>
      <c r="I15" s="70" t="s">
        <v>66</v>
      </c>
      <c r="J15" s="64" t="s">
        <v>67</v>
      </c>
    </row>
    <row r="16" spans="1:10" ht="19.5" customHeight="1" x14ac:dyDescent="0.25">
      <c r="A16" s="16">
        <v>7</v>
      </c>
      <c r="B16" s="7" t="s">
        <v>60</v>
      </c>
      <c r="C16" s="61">
        <v>0.66666666666666663</v>
      </c>
      <c r="D16" s="17" t="s">
        <v>51</v>
      </c>
      <c r="E16" s="65" t="s">
        <v>68</v>
      </c>
      <c r="F16" s="89">
        <v>1</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2</v>
      </c>
      <c r="G18" s="11" t="s">
        <v>34</v>
      </c>
      <c r="H18" s="90">
        <v>0</v>
      </c>
      <c r="I18" s="68" t="s">
        <v>74</v>
      </c>
      <c r="J18" s="64" t="s">
        <v>75</v>
      </c>
    </row>
    <row r="19" spans="1:10" ht="19.5" customHeight="1" x14ac:dyDescent="0.25">
      <c r="A19" s="28">
        <v>9</v>
      </c>
      <c r="B19" s="7" t="s">
        <v>72</v>
      </c>
      <c r="C19" s="61">
        <v>0.58333333333333337</v>
      </c>
      <c r="D19" s="29" t="s">
        <v>76</v>
      </c>
      <c r="E19" s="71" t="s">
        <v>77</v>
      </c>
      <c r="F19" s="92">
        <v>3</v>
      </c>
      <c r="G19" s="11" t="s">
        <v>34</v>
      </c>
      <c r="H19" s="92">
        <v>0</v>
      </c>
      <c r="I19" s="72" t="s">
        <v>78</v>
      </c>
      <c r="J19" s="64" t="s">
        <v>79</v>
      </c>
    </row>
    <row r="20" spans="1:10" ht="19.5" customHeight="1" x14ac:dyDescent="0.25">
      <c r="A20" s="32">
        <v>10</v>
      </c>
      <c r="B20" s="7" t="s">
        <v>72</v>
      </c>
      <c r="C20" s="61">
        <v>0.70833333333333337</v>
      </c>
      <c r="D20" s="33" t="s">
        <v>80</v>
      </c>
      <c r="E20" s="73" t="s">
        <v>81</v>
      </c>
      <c r="F20" s="93">
        <v>1</v>
      </c>
      <c r="G20" s="11" t="s">
        <v>34</v>
      </c>
      <c r="H20" s="93">
        <v>0</v>
      </c>
      <c r="I20" s="74" t="s">
        <v>82</v>
      </c>
      <c r="J20" s="64" t="s">
        <v>83</v>
      </c>
    </row>
    <row r="21" spans="1:10" ht="19.5" customHeight="1" x14ac:dyDescent="0.25">
      <c r="A21" s="28">
        <v>11</v>
      </c>
      <c r="B21" s="7" t="s">
        <v>72</v>
      </c>
      <c r="C21" s="61">
        <v>0.83333333333333337</v>
      </c>
      <c r="D21" s="29" t="s">
        <v>76</v>
      </c>
      <c r="E21" s="71" t="s">
        <v>84</v>
      </c>
      <c r="F21" s="92">
        <v>2</v>
      </c>
      <c r="G21" s="11" t="s">
        <v>34</v>
      </c>
      <c r="H21" s="92">
        <v>3</v>
      </c>
      <c r="I21" s="72" t="s">
        <v>85</v>
      </c>
      <c r="J21" s="64" t="s">
        <v>86</v>
      </c>
    </row>
    <row r="22" spans="1:10" ht="19.5" customHeight="1" x14ac:dyDescent="0.25">
      <c r="A22" s="32">
        <v>12</v>
      </c>
      <c r="B22" s="7" t="s">
        <v>72</v>
      </c>
      <c r="C22" s="61">
        <v>0.95833333333333337</v>
      </c>
      <c r="D22" s="33" t="s">
        <v>80</v>
      </c>
      <c r="E22" s="73" t="s">
        <v>87</v>
      </c>
      <c r="F22" s="93">
        <v>1</v>
      </c>
      <c r="G22" s="11" t="s">
        <v>34</v>
      </c>
      <c r="H22" s="93">
        <v>0</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2</v>
      </c>
      <c r="G24" s="11" t="s">
        <v>34</v>
      </c>
      <c r="H24" s="94">
        <v>0</v>
      </c>
      <c r="I24" s="76" t="s">
        <v>94</v>
      </c>
      <c r="J24" s="64" t="s">
        <v>95</v>
      </c>
    </row>
    <row r="25" spans="1:10" ht="19.5" customHeight="1" x14ac:dyDescent="0.25">
      <c r="A25" s="40">
        <v>14</v>
      </c>
      <c r="B25" s="7" t="s">
        <v>91</v>
      </c>
      <c r="C25" s="61">
        <v>0.66666666666666663</v>
      </c>
      <c r="D25" s="41" t="s">
        <v>96</v>
      </c>
      <c r="E25" s="77" t="s">
        <v>97</v>
      </c>
      <c r="F25" s="95">
        <v>1</v>
      </c>
      <c r="G25" s="11" t="s">
        <v>34</v>
      </c>
      <c r="H25" s="95">
        <v>0</v>
      </c>
      <c r="I25" s="78" t="s">
        <v>98</v>
      </c>
      <c r="J25" s="64" t="s">
        <v>99</v>
      </c>
    </row>
    <row r="26" spans="1:10" ht="19.5" customHeight="1" x14ac:dyDescent="0.25">
      <c r="A26" s="36">
        <v>15</v>
      </c>
      <c r="B26" s="7" t="s">
        <v>91</v>
      </c>
      <c r="C26" s="61">
        <v>0.79166666666666663</v>
      </c>
      <c r="D26" s="37" t="s">
        <v>92</v>
      </c>
      <c r="E26" s="75" t="s">
        <v>100</v>
      </c>
      <c r="F26" s="94">
        <v>0</v>
      </c>
      <c r="G26" s="11" t="s">
        <v>34</v>
      </c>
      <c r="H26" s="94">
        <v>2</v>
      </c>
      <c r="I26" s="76" t="s">
        <v>101</v>
      </c>
      <c r="J26" s="64" t="s">
        <v>102</v>
      </c>
    </row>
    <row r="27" spans="1:10" ht="19.5" customHeight="1" x14ac:dyDescent="0.25">
      <c r="A27" s="40">
        <v>16</v>
      </c>
      <c r="B27" s="7" t="s">
        <v>91</v>
      </c>
      <c r="C27" s="61">
        <v>0.91666666666666663</v>
      </c>
      <c r="D27" s="41" t="s">
        <v>96</v>
      </c>
      <c r="E27" s="77" t="s">
        <v>103</v>
      </c>
      <c r="F27" s="95">
        <v>1</v>
      </c>
      <c r="G27" s="11" t="s">
        <v>34</v>
      </c>
      <c r="H27" s="95">
        <v>0</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2</v>
      </c>
      <c r="G29" s="11" t="s">
        <v>34</v>
      </c>
      <c r="H29" s="96">
        <v>0</v>
      </c>
      <c r="I29" s="80" t="s">
        <v>109</v>
      </c>
      <c r="J29" s="64" t="s">
        <v>67</v>
      </c>
    </row>
    <row r="30" spans="1:10" ht="19.5" customHeight="1" x14ac:dyDescent="0.25">
      <c r="A30" s="44">
        <v>18</v>
      </c>
      <c r="B30" s="7" t="s">
        <v>106</v>
      </c>
      <c r="C30" s="61">
        <v>0.79166666666666663</v>
      </c>
      <c r="D30" s="45" t="s">
        <v>107</v>
      </c>
      <c r="E30" s="79" t="s">
        <v>110</v>
      </c>
      <c r="F30" s="96">
        <v>0</v>
      </c>
      <c r="G30" s="11" t="s">
        <v>34</v>
      </c>
      <c r="H30" s="96">
        <v>1</v>
      </c>
      <c r="I30" s="80" t="s">
        <v>111</v>
      </c>
      <c r="J30" s="64" t="s">
        <v>64</v>
      </c>
    </row>
    <row r="31" spans="1:10" ht="19.5" customHeight="1" x14ac:dyDescent="0.25">
      <c r="A31" s="48">
        <v>19</v>
      </c>
      <c r="B31" s="7" t="s">
        <v>106</v>
      </c>
      <c r="C31" s="61">
        <v>0.91666666666666663</v>
      </c>
      <c r="D31" s="49" t="s">
        <v>112</v>
      </c>
      <c r="E31" s="81" t="s">
        <v>113</v>
      </c>
      <c r="F31" s="97">
        <v>1</v>
      </c>
      <c r="G31" s="11" t="s">
        <v>34</v>
      </c>
      <c r="H31" s="97">
        <v>0</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1</v>
      </c>
      <c r="G33" s="11" t="s">
        <v>34</v>
      </c>
      <c r="H33" s="97">
        <v>2</v>
      </c>
      <c r="I33" s="82" t="s">
        <v>119</v>
      </c>
      <c r="J33" s="64" t="s">
        <v>70</v>
      </c>
    </row>
    <row r="34" spans="1:10" ht="19.5" customHeight="1" x14ac:dyDescent="0.25">
      <c r="A34" s="52">
        <v>21</v>
      </c>
      <c r="B34" s="7" t="s">
        <v>117</v>
      </c>
      <c r="C34" s="61">
        <v>0.58333333333333337</v>
      </c>
      <c r="D34" s="53" t="s">
        <v>120</v>
      </c>
      <c r="E34" s="83" t="s">
        <v>121</v>
      </c>
      <c r="F34" s="98">
        <v>2</v>
      </c>
      <c r="G34" s="11" t="s">
        <v>34</v>
      </c>
      <c r="H34" s="98">
        <v>0</v>
      </c>
      <c r="I34" s="84" t="s">
        <v>122</v>
      </c>
      <c r="J34" s="64" t="s">
        <v>79</v>
      </c>
    </row>
    <row r="35" spans="1:10" ht="19.5" customHeight="1" x14ac:dyDescent="0.25">
      <c r="A35" s="56">
        <v>22</v>
      </c>
      <c r="B35" s="7" t="s">
        <v>117</v>
      </c>
      <c r="C35" s="61">
        <v>0.70833333333333337</v>
      </c>
      <c r="D35" s="57" t="s">
        <v>123</v>
      </c>
      <c r="E35" s="85" t="s">
        <v>124</v>
      </c>
      <c r="F35" s="99">
        <v>2</v>
      </c>
      <c r="G35" s="11" t="s">
        <v>34</v>
      </c>
      <c r="H35" s="99">
        <v>1</v>
      </c>
      <c r="I35" s="86" t="s">
        <v>125</v>
      </c>
      <c r="J35" s="64" t="s">
        <v>83</v>
      </c>
    </row>
    <row r="36" spans="1:10" ht="19.5" customHeight="1" x14ac:dyDescent="0.25">
      <c r="A36" s="56">
        <v>23</v>
      </c>
      <c r="B36" s="7" t="s">
        <v>117</v>
      </c>
      <c r="C36" s="61">
        <v>0.83333333333333337</v>
      </c>
      <c r="D36" s="57" t="s">
        <v>123</v>
      </c>
      <c r="E36" s="85" t="s">
        <v>126</v>
      </c>
      <c r="F36" s="99">
        <v>2</v>
      </c>
      <c r="G36" s="11" t="s">
        <v>34</v>
      </c>
      <c r="H36" s="99">
        <v>1</v>
      </c>
      <c r="I36" s="86" t="s">
        <v>127</v>
      </c>
      <c r="J36" s="64" t="s">
        <v>54</v>
      </c>
    </row>
    <row r="37" spans="1:10" ht="19.5" customHeight="1" x14ac:dyDescent="0.25">
      <c r="A37" s="52">
        <v>24</v>
      </c>
      <c r="B37" s="7" t="s">
        <v>117</v>
      </c>
      <c r="C37" s="61">
        <v>0.95833333333333337</v>
      </c>
      <c r="D37" s="53" t="s">
        <v>120</v>
      </c>
      <c r="E37" s="83" t="s">
        <v>128</v>
      </c>
      <c r="F37" s="98">
        <v>1</v>
      </c>
      <c r="G37" s="11" t="s">
        <v>34</v>
      </c>
      <c r="H37" s="98">
        <v>2</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c r="G39" s="11" t="s">
        <v>34</v>
      </c>
      <c r="H39" s="88"/>
      <c r="I39" s="63" t="s">
        <v>44</v>
      </c>
      <c r="J39" s="64" t="s">
        <v>95</v>
      </c>
    </row>
    <row r="40" spans="1:10" ht="19.5" customHeight="1" x14ac:dyDescent="0.25">
      <c r="A40" s="16">
        <v>26</v>
      </c>
      <c r="B40" s="7" t="s">
        <v>131</v>
      </c>
      <c r="C40" s="61">
        <v>0.66666666666666663</v>
      </c>
      <c r="D40" s="17" t="s">
        <v>51</v>
      </c>
      <c r="E40" s="65" t="s">
        <v>69</v>
      </c>
      <c r="F40" s="89">
        <v>2</v>
      </c>
      <c r="G40" s="11" t="s">
        <v>34</v>
      </c>
      <c r="H40" s="89">
        <v>0</v>
      </c>
      <c r="I40" s="66" t="s">
        <v>53</v>
      </c>
      <c r="J40" s="64" t="s">
        <v>58</v>
      </c>
    </row>
    <row r="41" spans="1:10" ht="19.5" customHeight="1" x14ac:dyDescent="0.25">
      <c r="A41" s="16">
        <v>27</v>
      </c>
      <c r="B41" s="7" t="s">
        <v>131</v>
      </c>
      <c r="C41" s="61">
        <v>0.79166666666666663</v>
      </c>
      <c r="D41" s="17" t="s">
        <v>51</v>
      </c>
      <c r="E41" s="65" t="s">
        <v>52</v>
      </c>
      <c r="F41" s="89">
        <v>1</v>
      </c>
      <c r="G41" s="11" t="s">
        <v>34</v>
      </c>
      <c r="H41" s="89">
        <v>0</v>
      </c>
      <c r="I41" s="66" t="s">
        <v>68</v>
      </c>
      <c r="J41" s="64" t="s">
        <v>75</v>
      </c>
    </row>
    <row r="42" spans="1:10" ht="19.5" customHeight="1" x14ac:dyDescent="0.25">
      <c r="A42" s="6">
        <v>28</v>
      </c>
      <c r="B42" s="7" t="s">
        <v>131</v>
      </c>
      <c r="C42" s="61">
        <v>0.91666666666666663</v>
      </c>
      <c r="D42" s="8" t="s">
        <v>42</v>
      </c>
      <c r="E42" s="62" t="s">
        <v>43</v>
      </c>
      <c r="F42" s="88">
        <v>2</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2</v>
      </c>
      <c r="I44" s="68" t="s">
        <v>73</v>
      </c>
      <c r="J44" s="64" t="s">
        <v>99</v>
      </c>
    </row>
    <row r="45" spans="1:10" ht="19.5" customHeight="1" x14ac:dyDescent="0.25">
      <c r="A45" s="24">
        <v>30</v>
      </c>
      <c r="B45" s="7" t="s">
        <v>133</v>
      </c>
      <c r="C45" s="61">
        <v>0.79166666666666663</v>
      </c>
      <c r="D45" s="25" t="s">
        <v>61</v>
      </c>
      <c r="E45" s="69" t="s">
        <v>63</v>
      </c>
      <c r="F45" s="91">
        <v>1</v>
      </c>
      <c r="G45" s="11" t="s">
        <v>34</v>
      </c>
      <c r="H45" s="91">
        <v>0</v>
      </c>
      <c r="I45" s="70" t="s">
        <v>66</v>
      </c>
      <c r="J45" s="64" t="s">
        <v>64</v>
      </c>
    </row>
    <row r="46" spans="1:10" ht="19.5" customHeight="1" x14ac:dyDescent="0.25">
      <c r="A46" s="24">
        <v>31</v>
      </c>
      <c r="B46" s="7" t="s">
        <v>133</v>
      </c>
      <c r="C46" s="61">
        <v>0.89583333333333337</v>
      </c>
      <c r="D46" s="25" t="s">
        <v>61</v>
      </c>
      <c r="E46" s="69" t="s">
        <v>65</v>
      </c>
      <c r="F46" s="91">
        <v>1</v>
      </c>
      <c r="G46" s="11" t="s">
        <v>34</v>
      </c>
      <c r="H46" s="91">
        <v>1</v>
      </c>
      <c r="I46" s="70" t="s">
        <v>62</v>
      </c>
      <c r="J46" s="64" t="s">
        <v>86</v>
      </c>
    </row>
    <row r="47" spans="1:10" ht="19.5" customHeight="1" x14ac:dyDescent="0.25">
      <c r="A47" s="20">
        <v>32</v>
      </c>
      <c r="B47" s="7" t="s">
        <v>133</v>
      </c>
      <c r="C47" s="61">
        <v>0.99930555555555556</v>
      </c>
      <c r="D47" s="21" t="s">
        <v>55</v>
      </c>
      <c r="E47" s="67" t="s">
        <v>74</v>
      </c>
      <c r="F47" s="90">
        <v>1</v>
      </c>
      <c r="G47" s="11" t="s">
        <v>34</v>
      </c>
      <c r="H47" s="90">
        <v>2</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2</v>
      </c>
      <c r="G49" s="11" t="s">
        <v>34</v>
      </c>
      <c r="H49" s="93">
        <v>2</v>
      </c>
      <c r="I49" s="74" t="s">
        <v>87</v>
      </c>
      <c r="J49" s="64" t="s">
        <v>79</v>
      </c>
    </row>
    <row r="50" spans="1:10" ht="19.5" customHeight="1" x14ac:dyDescent="0.25">
      <c r="A50" s="28">
        <v>34</v>
      </c>
      <c r="B50" s="7" t="s">
        <v>135</v>
      </c>
      <c r="C50" s="61">
        <v>0.70833333333333337</v>
      </c>
      <c r="D50" s="29" t="s">
        <v>76</v>
      </c>
      <c r="E50" s="71" t="s">
        <v>77</v>
      </c>
      <c r="F50" s="92">
        <v>3</v>
      </c>
      <c r="G50" s="11" t="s">
        <v>34</v>
      </c>
      <c r="H50" s="92">
        <v>1</v>
      </c>
      <c r="I50" s="72" t="s">
        <v>84</v>
      </c>
      <c r="J50" s="64" t="s">
        <v>54</v>
      </c>
    </row>
    <row r="51" spans="1:10" ht="19.5" customHeight="1" x14ac:dyDescent="0.25">
      <c r="A51" s="28">
        <v>35</v>
      </c>
      <c r="B51" s="7" t="s">
        <v>135</v>
      </c>
      <c r="C51" s="61">
        <v>0.875</v>
      </c>
      <c r="D51" s="29" t="s">
        <v>76</v>
      </c>
      <c r="E51" s="71" t="s">
        <v>85</v>
      </c>
      <c r="F51" s="92">
        <v>1</v>
      </c>
      <c r="G51" s="11" t="s">
        <v>34</v>
      </c>
      <c r="H51" s="92">
        <v>0</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0</v>
      </c>
      <c r="G53" s="11" t="s">
        <v>34</v>
      </c>
      <c r="H53" s="93">
        <v>1</v>
      </c>
      <c r="I53" s="74" t="s">
        <v>82</v>
      </c>
      <c r="J53" s="64" t="s">
        <v>89</v>
      </c>
    </row>
    <row r="54" spans="1:10" ht="19.5" customHeight="1" x14ac:dyDescent="0.25">
      <c r="A54" s="36">
        <v>37</v>
      </c>
      <c r="B54" s="7" t="s">
        <v>137</v>
      </c>
      <c r="C54" s="61">
        <v>0.54166666666666663</v>
      </c>
      <c r="D54" s="37" t="s">
        <v>92</v>
      </c>
      <c r="E54" s="75" t="s">
        <v>93</v>
      </c>
      <c r="F54" s="94">
        <v>1</v>
      </c>
      <c r="G54" s="11" t="s">
        <v>34</v>
      </c>
      <c r="H54" s="94">
        <v>2</v>
      </c>
      <c r="I54" s="76" t="s">
        <v>100</v>
      </c>
      <c r="J54" s="64" t="s">
        <v>95</v>
      </c>
    </row>
    <row r="55" spans="1:10" ht="19.5" customHeight="1" x14ac:dyDescent="0.25">
      <c r="A55" s="40">
        <v>38</v>
      </c>
      <c r="B55" s="7" t="s">
        <v>137</v>
      </c>
      <c r="C55" s="61">
        <v>0.66666666666666663</v>
      </c>
      <c r="D55" s="41" t="s">
        <v>96</v>
      </c>
      <c r="E55" s="77" t="s">
        <v>97</v>
      </c>
      <c r="F55" s="95">
        <v>1</v>
      </c>
      <c r="G55" s="11" t="s">
        <v>34</v>
      </c>
      <c r="H55" s="95">
        <v>0</v>
      </c>
      <c r="I55" s="78" t="s">
        <v>103</v>
      </c>
      <c r="J55" s="64" t="s">
        <v>58</v>
      </c>
    </row>
    <row r="56" spans="1:10" ht="19.5" customHeight="1" x14ac:dyDescent="0.25">
      <c r="A56" s="36">
        <v>39</v>
      </c>
      <c r="B56" s="7" t="s">
        <v>137</v>
      </c>
      <c r="C56" s="61">
        <v>0.79166666666666663</v>
      </c>
      <c r="D56" s="37" t="s">
        <v>92</v>
      </c>
      <c r="E56" s="75" t="s">
        <v>101</v>
      </c>
      <c r="F56" s="94">
        <v>2</v>
      </c>
      <c r="G56" s="11" t="s">
        <v>34</v>
      </c>
      <c r="H56" s="94">
        <v>1</v>
      </c>
      <c r="I56" s="76" t="s">
        <v>94</v>
      </c>
      <c r="J56" s="64" t="s">
        <v>102</v>
      </c>
    </row>
    <row r="57" spans="1:10" ht="19.5" customHeight="1" x14ac:dyDescent="0.25">
      <c r="A57" s="40">
        <v>40</v>
      </c>
      <c r="B57" s="7" t="s">
        <v>137</v>
      </c>
      <c r="C57" s="61">
        <v>0.91666666666666663</v>
      </c>
      <c r="D57" s="41" t="s">
        <v>96</v>
      </c>
      <c r="E57" s="77" t="s">
        <v>104</v>
      </c>
      <c r="F57" s="95">
        <v>2</v>
      </c>
      <c r="G57" s="11" t="s">
        <v>34</v>
      </c>
      <c r="H57" s="95">
        <v>2</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1</v>
      </c>
      <c r="G59" s="11" t="s">
        <v>34</v>
      </c>
      <c r="H59" s="97">
        <v>0</v>
      </c>
      <c r="I59" s="82" t="s">
        <v>118</v>
      </c>
      <c r="J59" s="64" t="s">
        <v>83</v>
      </c>
    </row>
    <row r="60" spans="1:10" ht="19.5" customHeight="1" x14ac:dyDescent="0.25">
      <c r="A60" s="44">
        <v>42</v>
      </c>
      <c r="B60" s="7" t="s">
        <v>139</v>
      </c>
      <c r="C60" s="61">
        <v>0.75</v>
      </c>
      <c r="D60" s="45" t="s">
        <v>107</v>
      </c>
      <c r="E60" s="79" t="s">
        <v>108</v>
      </c>
      <c r="F60" s="96">
        <v>3</v>
      </c>
      <c r="G60" s="11" t="s">
        <v>34</v>
      </c>
      <c r="H60" s="96">
        <v>0</v>
      </c>
      <c r="I60" s="80" t="s">
        <v>110</v>
      </c>
      <c r="J60" s="64" t="s">
        <v>86</v>
      </c>
    </row>
    <row r="61" spans="1:10" ht="19.5" customHeight="1" x14ac:dyDescent="0.25">
      <c r="A61" s="44">
        <v>43</v>
      </c>
      <c r="B61" s="7" t="s">
        <v>139</v>
      </c>
      <c r="C61" s="61">
        <v>0.875</v>
      </c>
      <c r="D61" s="45" t="s">
        <v>107</v>
      </c>
      <c r="E61" s="79" t="s">
        <v>111</v>
      </c>
      <c r="F61" s="96">
        <v>1</v>
      </c>
      <c r="G61" s="11" t="s">
        <v>34</v>
      </c>
      <c r="H61" s="96">
        <v>2</v>
      </c>
      <c r="I61" s="80" t="s">
        <v>109</v>
      </c>
      <c r="J61" s="64" t="s">
        <v>67</v>
      </c>
    </row>
    <row r="62" spans="1:10" ht="19.5" customHeight="1" x14ac:dyDescent="0.25">
      <c r="A62" s="48">
        <v>44</v>
      </c>
      <c r="B62" s="7" t="s">
        <v>139</v>
      </c>
      <c r="C62" s="61">
        <v>0.99930555555555556</v>
      </c>
      <c r="D62" s="49" t="s">
        <v>112</v>
      </c>
      <c r="E62" s="81" t="s">
        <v>119</v>
      </c>
      <c r="F62" s="97">
        <v>2</v>
      </c>
      <c r="G62" s="11" t="s">
        <v>34</v>
      </c>
      <c r="H62" s="97">
        <v>3</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1</v>
      </c>
      <c r="G64" s="11" t="s">
        <v>34</v>
      </c>
      <c r="H64" s="98">
        <v>0</v>
      </c>
      <c r="I64" s="84" t="s">
        <v>128</v>
      </c>
      <c r="J64" s="64" t="s">
        <v>79</v>
      </c>
    </row>
    <row r="65" spans="1:10" ht="19.5" customHeight="1" x14ac:dyDescent="0.25">
      <c r="A65" s="56">
        <v>46</v>
      </c>
      <c r="B65" s="7" t="s">
        <v>141</v>
      </c>
      <c r="C65" s="61">
        <v>0.70833333333333337</v>
      </c>
      <c r="D65" s="57" t="s">
        <v>123</v>
      </c>
      <c r="E65" s="85" t="s">
        <v>124</v>
      </c>
      <c r="F65" s="99">
        <v>2</v>
      </c>
      <c r="G65" s="11" t="s">
        <v>34</v>
      </c>
      <c r="H65" s="99">
        <v>2</v>
      </c>
      <c r="I65" s="86" t="s">
        <v>126</v>
      </c>
      <c r="J65" s="64" t="s">
        <v>64</v>
      </c>
    </row>
    <row r="66" spans="1:10" ht="19.5" customHeight="1" x14ac:dyDescent="0.25">
      <c r="A66" s="56">
        <v>47</v>
      </c>
      <c r="B66" s="7" t="s">
        <v>141</v>
      </c>
      <c r="C66" s="61">
        <v>0.83333333333333337</v>
      </c>
      <c r="D66" s="57" t="s">
        <v>123</v>
      </c>
      <c r="E66" s="85" t="s">
        <v>127</v>
      </c>
      <c r="F66" s="99">
        <v>1</v>
      </c>
      <c r="G66" s="11" t="s">
        <v>34</v>
      </c>
      <c r="H66" s="99">
        <v>1</v>
      </c>
      <c r="I66" s="86" t="s">
        <v>125</v>
      </c>
      <c r="J66" s="64" t="s">
        <v>54</v>
      </c>
    </row>
    <row r="67" spans="1:10" ht="19.5" customHeight="1" x14ac:dyDescent="0.25">
      <c r="A67" s="52">
        <v>48</v>
      </c>
      <c r="B67" s="7" t="s">
        <v>141</v>
      </c>
      <c r="C67" s="61">
        <v>0.95833333333333337</v>
      </c>
      <c r="D67" s="53" t="s">
        <v>120</v>
      </c>
      <c r="E67" s="83" t="s">
        <v>129</v>
      </c>
      <c r="F67" s="98">
        <v>1</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2</v>
      </c>
      <c r="G69" s="11" t="s">
        <v>34</v>
      </c>
      <c r="H69" s="89">
        <v>1</v>
      </c>
      <c r="I69" s="66" t="s">
        <v>52</v>
      </c>
      <c r="J69" s="64" t="s">
        <v>75</v>
      </c>
    </row>
    <row r="70" spans="1:10" ht="19.5" customHeight="1" x14ac:dyDescent="0.25">
      <c r="A70" s="16">
        <v>50</v>
      </c>
      <c r="B70" s="7" t="s">
        <v>143</v>
      </c>
      <c r="C70" s="61">
        <v>0.66666666666666663</v>
      </c>
      <c r="D70" s="17" t="s">
        <v>51</v>
      </c>
      <c r="E70" s="65" t="s">
        <v>53</v>
      </c>
      <c r="F70" s="89">
        <v>2</v>
      </c>
      <c r="G70" s="11" t="s">
        <v>34</v>
      </c>
      <c r="H70" s="89">
        <v>2</v>
      </c>
      <c r="I70" s="66" t="s">
        <v>68</v>
      </c>
      <c r="J70" s="64" t="s">
        <v>99</v>
      </c>
    </row>
    <row r="71" spans="1:10" ht="19.5" customHeight="1" x14ac:dyDescent="0.25">
      <c r="A71" s="24">
        <v>51</v>
      </c>
      <c r="B71" s="7" t="s">
        <v>143</v>
      </c>
      <c r="C71" s="61">
        <v>0.79166666666666663</v>
      </c>
      <c r="D71" s="25" t="s">
        <v>61</v>
      </c>
      <c r="E71" s="69" t="s">
        <v>63</v>
      </c>
      <c r="F71" s="91">
        <v>1</v>
      </c>
      <c r="G71" s="11" t="s">
        <v>34</v>
      </c>
      <c r="H71" s="91">
        <v>0</v>
      </c>
      <c r="I71" s="70" t="s">
        <v>65</v>
      </c>
      <c r="J71" s="64" t="s">
        <v>102</v>
      </c>
    </row>
    <row r="72" spans="1:10" ht="19.5" customHeight="1" x14ac:dyDescent="0.25">
      <c r="A72" s="24">
        <v>52</v>
      </c>
      <c r="B72" s="7" t="s">
        <v>143</v>
      </c>
      <c r="C72" s="61">
        <v>0.79166666666666663</v>
      </c>
      <c r="D72" s="25" t="s">
        <v>61</v>
      </c>
      <c r="E72" s="69" t="s">
        <v>66</v>
      </c>
      <c r="F72" s="91">
        <v>3</v>
      </c>
      <c r="G72" s="11" t="s">
        <v>34</v>
      </c>
      <c r="H72" s="91">
        <v>3</v>
      </c>
      <c r="I72" s="70" t="s">
        <v>62</v>
      </c>
      <c r="J72" s="64" t="s">
        <v>95</v>
      </c>
    </row>
    <row r="73" spans="1:10" ht="19.5" customHeight="1" x14ac:dyDescent="0.25">
      <c r="A73" s="6">
        <v>53</v>
      </c>
      <c r="B73" s="7" t="s">
        <v>143</v>
      </c>
      <c r="C73" s="61">
        <v>0.91666666666666663</v>
      </c>
      <c r="D73" s="8" t="s">
        <v>42</v>
      </c>
      <c r="E73" s="62" t="s">
        <v>47</v>
      </c>
      <c r="F73" s="88">
        <v>1</v>
      </c>
      <c r="G73" s="11" t="s">
        <v>34</v>
      </c>
      <c r="H73" s="88">
        <v>1</v>
      </c>
      <c r="I73" s="63" t="s">
        <v>43</v>
      </c>
      <c r="J73" s="64" t="s">
        <v>45</v>
      </c>
    </row>
    <row r="74" spans="1:10" ht="19.5" customHeight="1" x14ac:dyDescent="0.25">
      <c r="A74" s="6">
        <v>54</v>
      </c>
      <c r="B74" s="7" t="s">
        <v>143</v>
      </c>
      <c r="C74" s="61">
        <v>0.91666666666666663</v>
      </c>
      <c r="D74" s="8" t="s">
        <v>42</v>
      </c>
      <c r="E74" s="62" t="s">
        <v>44</v>
      </c>
      <c r="F74" s="88">
        <v>0</v>
      </c>
      <c r="G74" s="11" t="s">
        <v>34</v>
      </c>
      <c r="H74" s="88">
        <v>2</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1</v>
      </c>
      <c r="G76" s="11" t="s">
        <v>34</v>
      </c>
      <c r="H76" s="92">
        <v>0</v>
      </c>
      <c r="I76" s="72" t="s">
        <v>84</v>
      </c>
      <c r="J76" s="64" t="s">
        <v>86</v>
      </c>
    </row>
    <row r="77" spans="1:10" ht="19.5" customHeight="1" x14ac:dyDescent="0.25">
      <c r="A77" s="28">
        <v>56</v>
      </c>
      <c r="B77" s="7" t="s">
        <v>145</v>
      </c>
      <c r="C77" s="61">
        <v>0.70833333333333337</v>
      </c>
      <c r="D77" s="29" t="s">
        <v>76</v>
      </c>
      <c r="E77" s="71" t="s">
        <v>85</v>
      </c>
      <c r="F77" s="92">
        <v>1</v>
      </c>
      <c r="G77" s="11" t="s">
        <v>34</v>
      </c>
      <c r="H77" s="92">
        <v>3</v>
      </c>
      <c r="I77" s="72" t="s">
        <v>77</v>
      </c>
      <c r="J77" s="64" t="s">
        <v>67</v>
      </c>
    </row>
    <row r="78" spans="1:10" ht="19.5" customHeight="1" x14ac:dyDescent="0.25">
      <c r="A78" s="32">
        <v>57</v>
      </c>
      <c r="B78" s="7" t="s">
        <v>145</v>
      </c>
      <c r="C78" s="61">
        <v>0.83333333333333337</v>
      </c>
      <c r="D78" s="33" t="s">
        <v>80</v>
      </c>
      <c r="E78" s="73" t="s">
        <v>82</v>
      </c>
      <c r="F78" s="93">
        <v>0</v>
      </c>
      <c r="G78" s="11" t="s">
        <v>34</v>
      </c>
      <c r="H78" s="93">
        <v>1</v>
      </c>
      <c r="I78" s="74" t="s">
        <v>87</v>
      </c>
      <c r="J78" s="64" t="s">
        <v>83</v>
      </c>
    </row>
    <row r="79" spans="1:10" ht="19.5" customHeight="1" x14ac:dyDescent="0.25">
      <c r="A79" s="32">
        <v>58</v>
      </c>
      <c r="B79" s="7" t="s">
        <v>145</v>
      </c>
      <c r="C79" s="61">
        <v>0.83333333333333337</v>
      </c>
      <c r="D79" s="33" t="s">
        <v>80</v>
      </c>
      <c r="E79" s="73" t="s">
        <v>88</v>
      </c>
      <c r="F79" s="93">
        <v>2</v>
      </c>
      <c r="G79" s="11" t="s">
        <v>34</v>
      </c>
      <c r="H79" s="93">
        <v>1</v>
      </c>
      <c r="I79" s="74" t="s">
        <v>81</v>
      </c>
      <c r="J79" s="64" t="s">
        <v>115</v>
      </c>
    </row>
    <row r="80" spans="1:10" ht="19.5" customHeight="1" x14ac:dyDescent="0.25">
      <c r="A80" s="20">
        <v>59</v>
      </c>
      <c r="B80" s="7" t="s">
        <v>145</v>
      </c>
      <c r="C80" s="61">
        <v>0.95833333333333337</v>
      </c>
      <c r="D80" s="21" t="s">
        <v>55</v>
      </c>
      <c r="E80" s="67" t="s">
        <v>74</v>
      </c>
      <c r="F80" s="90">
        <v>1</v>
      </c>
      <c r="G80" s="11" t="s">
        <v>34</v>
      </c>
      <c r="H80" s="90">
        <v>0</v>
      </c>
      <c r="I80" s="68" t="s">
        <v>56</v>
      </c>
      <c r="J80" s="64" t="s">
        <v>58</v>
      </c>
    </row>
    <row r="81" spans="1:10" ht="19.5" customHeight="1" x14ac:dyDescent="0.25">
      <c r="A81" s="20">
        <v>60</v>
      </c>
      <c r="B81" s="7" t="s">
        <v>145</v>
      </c>
      <c r="C81" s="61">
        <v>0.95833333333333337</v>
      </c>
      <c r="D81" s="21" t="s">
        <v>55</v>
      </c>
      <c r="E81" s="67" t="s">
        <v>57</v>
      </c>
      <c r="F81" s="90">
        <v>2</v>
      </c>
      <c r="G81" s="11" t="s">
        <v>34</v>
      </c>
      <c r="H81" s="90">
        <v>1</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v>1</v>
      </c>
      <c r="G83" s="11" t="s">
        <v>34</v>
      </c>
      <c r="H83" s="96">
        <v>3</v>
      </c>
      <c r="I83" s="80" t="s">
        <v>108</v>
      </c>
      <c r="J83" s="64" t="s">
        <v>64</v>
      </c>
    </row>
    <row r="84" spans="1:10" ht="19.5" customHeight="1" x14ac:dyDescent="0.25">
      <c r="A84" s="44">
        <v>62</v>
      </c>
      <c r="B84" s="7" t="s">
        <v>147</v>
      </c>
      <c r="C84" s="61">
        <v>0.66666666666666663</v>
      </c>
      <c r="D84" s="45" t="s">
        <v>107</v>
      </c>
      <c r="E84" s="79" t="s">
        <v>109</v>
      </c>
      <c r="F84" s="96">
        <v>1</v>
      </c>
      <c r="G84" s="11" t="s">
        <v>34</v>
      </c>
      <c r="H84" s="96">
        <v>0</v>
      </c>
      <c r="I84" s="80" t="s">
        <v>110</v>
      </c>
      <c r="J84" s="64" t="s">
        <v>54</v>
      </c>
    </row>
    <row r="85" spans="1:10" ht="19.5" customHeight="1" x14ac:dyDescent="0.25">
      <c r="A85" s="36">
        <v>63</v>
      </c>
      <c r="B85" s="7" t="s">
        <v>147</v>
      </c>
      <c r="C85" s="61">
        <v>0.875</v>
      </c>
      <c r="D85" s="37" t="s">
        <v>92</v>
      </c>
      <c r="E85" s="75" t="s">
        <v>94</v>
      </c>
      <c r="F85" s="94">
        <v>1</v>
      </c>
      <c r="G85" s="11" t="s">
        <v>34</v>
      </c>
      <c r="H85" s="94">
        <v>0</v>
      </c>
      <c r="I85" s="76" t="s">
        <v>100</v>
      </c>
      <c r="J85" s="64" t="s">
        <v>79</v>
      </c>
    </row>
    <row r="86" spans="1:10" ht="19.5" customHeight="1" x14ac:dyDescent="0.25">
      <c r="A86" s="36">
        <v>64</v>
      </c>
      <c r="B86" s="7" t="s">
        <v>147</v>
      </c>
      <c r="C86" s="61">
        <v>0.875</v>
      </c>
      <c r="D86" s="37" t="s">
        <v>92</v>
      </c>
      <c r="E86" s="75" t="s">
        <v>101</v>
      </c>
      <c r="F86" s="94">
        <v>2</v>
      </c>
      <c r="G86" s="11" t="s">
        <v>34</v>
      </c>
      <c r="H86" s="94">
        <v>2</v>
      </c>
      <c r="I86" s="76" t="s">
        <v>93</v>
      </c>
      <c r="J86" s="64" t="s">
        <v>48</v>
      </c>
    </row>
    <row r="87" spans="1:10" ht="19.5" customHeight="1" x14ac:dyDescent="0.25">
      <c r="A87" s="40">
        <v>65</v>
      </c>
      <c r="B87" s="7" t="s">
        <v>147</v>
      </c>
      <c r="C87" s="61">
        <v>0.99930555555555556</v>
      </c>
      <c r="D87" s="41" t="s">
        <v>96</v>
      </c>
      <c r="E87" s="77" t="s">
        <v>98</v>
      </c>
      <c r="F87" s="95">
        <v>0</v>
      </c>
      <c r="G87" s="11" t="s">
        <v>34</v>
      </c>
      <c r="H87" s="95">
        <v>2</v>
      </c>
      <c r="I87" s="78" t="s">
        <v>103</v>
      </c>
      <c r="J87" s="64" t="s">
        <v>99</v>
      </c>
    </row>
    <row r="88" spans="1:10" ht="19.5" customHeight="1" x14ac:dyDescent="0.25">
      <c r="A88" s="40">
        <v>66</v>
      </c>
      <c r="B88" s="7" t="s">
        <v>147</v>
      </c>
      <c r="C88" s="61">
        <v>0.99930555555555556</v>
      </c>
      <c r="D88" s="41" t="s">
        <v>96</v>
      </c>
      <c r="E88" s="77" t="s">
        <v>104</v>
      </c>
      <c r="F88" s="95">
        <v>2</v>
      </c>
      <c r="G88" s="11" t="s">
        <v>34</v>
      </c>
      <c r="H88" s="95">
        <v>1</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1</v>
      </c>
      <c r="G90" s="11" t="s">
        <v>34</v>
      </c>
      <c r="H90" s="99">
        <v>0</v>
      </c>
      <c r="I90" s="86" t="s">
        <v>124</v>
      </c>
      <c r="J90" s="64" t="s">
        <v>67</v>
      </c>
    </row>
    <row r="91" spans="1:10" ht="19.5" customHeight="1" x14ac:dyDescent="0.25">
      <c r="A91" s="56">
        <v>68</v>
      </c>
      <c r="B91" s="7" t="s">
        <v>149</v>
      </c>
      <c r="C91" s="61">
        <v>0.75</v>
      </c>
      <c r="D91" s="57" t="s">
        <v>123</v>
      </c>
      <c r="E91" s="85" t="s">
        <v>125</v>
      </c>
      <c r="F91" s="99">
        <v>2</v>
      </c>
      <c r="G91" s="11" t="s">
        <v>34</v>
      </c>
      <c r="H91" s="99">
        <v>3</v>
      </c>
      <c r="I91" s="86" t="s">
        <v>126</v>
      </c>
      <c r="J91" s="64" t="s">
        <v>86</v>
      </c>
    </row>
    <row r="92" spans="1:10" ht="19.5" customHeight="1" x14ac:dyDescent="0.25">
      <c r="A92" s="52">
        <v>69</v>
      </c>
      <c r="B92" s="7" t="s">
        <v>149</v>
      </c>
      <c r="C92" s="61">
        <v>0.85416666666666663</v>
      </c>
      <c r="D92" s="53" t="s">
        <v>120</v>
      </c>
      <c r="E92" s="83" t="s">
        <v>129</v>
      </c>
      <c r="F92" s="98">
        <v>1</v>
      </c>
      <c r="G92" s="11" t="s">
        <v>34</v>
      </c>
      <c r="H92" s="98">
        <v>2</v>
      </c>
      <c r="I92" s="84" t="s">
        <v>121</v>
      </c>
      <c r="J92" s="64" t="s">
        <v>102</v>
      </c>
    </row>
    <row r="93" spans="1:10" ht="19.5" customHeight="1" x14ac:dyDescent="0.25">
      <c r="A93" s="52">
        <v>70</v>
      </c>
      <c r="B93" s="7" t="s">
        <v>149</v>
      </c>
      <c r="C93" s="61">
        <v>0.85416666666666663</v>
      </c>
      <c r="D93" s="53" t="s">
        <v>120</v>
      </c>
      <c r="E93" s="83" t="s">
        <v>122</v>
      </c>
      <c r="F93" s="98">
        <v>1</v>
      </c>
      <c r="G93" s="11" t="s">
        <v>34</v>
      </c>
      <c r="H93" s="98">
        <v>2</v>
      </c>
      <c r="I93" s="84" t="s">
        <v>128</v>
      </c>
      <c r="J93" s="64" t="s">
        <v>95</v>
      </c>
    </row>
    <row r="94" spans="1:10" ht="19.5" customHeight="1" x14ac:dyDescent="0.25">
      <c r="A94" s="48">
        <v>71</v>
      </c>
      <c r="B94" s="7" t="s">
        <v>149</v>
      </c>
      <c r="C94" s="61">
        <v>0.95833333333333337</v>
      </c>
      <c r="D94" s="49" t="s">
        <v>112</v>
      </c>
      <c r="E94" s="81" t="s">
        <v>114</v>
      </c>
      <c r="F94" s="97">
        <v>3</v>
      </c>
      <c r="G94" s="11" t="s">
        <v>34</v>
      </c>
      <c r="H94" s="97">
        <v>1</v>
      </c>
      <c r="I94" s="82" t="s">
        <v>118</v>
      </c>
      <c r="J94" s="64" t="s">
        <v>115</v>
      </c>
    </row>
    <row r="95" spans="1:10" ht="19.5" customHeight="1" x14ac:dyDescent="0.25">
      <c r="A95" s="48">
        <v>72</v>
      </c>
      <c r="B95" s="7" t="s">
        <v>149</v>
      </c>
      <c r="C95" s="61">
        <v>0.95833333333333337</v>
      </c>
      <c r="D95" s="49" t="s">
        <v>112</v>
      </c>
      <c r="E95" s="81" t="s">
        <v>119</v>
      </c>
      <c r="F95" s="97">
        <v>1</v>
      </c>
      <c r="G95" s="11" t="s">
        <v>34</v>
      </c>
      <c r="H95" s="97">
        <v>2</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35"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34"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4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J1000"/>
  <sheetViews>
    <sheetView topLeftCell="A58" zoomScaleNormal="100" workbookViewId="0">
      <selection activeCell="F76" sqref="F76"/>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19</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c r="G8" s="11" t="s">
        <v>34</v>
      </c>
      <c r="H8" s="88"/>
      <c r="I8" s="63" t="s">
        <v>44</v>
      </c>
      <c r="J8" s="64" t="s">
        <v>45</v>
      </c>
    </row>
    <row r="9" spans="1:10" ht="19.5" customHeight="1" x14ac:dyDescent="0.25">
      <c r="A9" s="6">
        <v>2</v>
      </c>
      <c r="B9" s="7" t="s">
        <v>41</v>
      </c>
      <c r="C9" s="61">
        <v>0.95833333333333337</v>
      </c>
      <c r="D9" s="8" t="s">
        <v>42</v>
      </c>
      <c r="E9" s="62" t="s">
        <v>46</v>
      </c>
      <c r="F9" s="88">
        <v>1</v>
      </c>
      <c r="G9" s="11" t="s">
        <v>34</v>
      </c>
      <c r="H9" s="88">
        <v>0</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2</v>
      </c>
      <c r="G11" s="11" t="s">
        <v>34</v>
      </c>
      <c r="H11" s="89">
        <v>1</v>
      </c>
      <c r="I11" s="66" t="s">
        <v>53</v>
      </c>
      <c r="J11" s="64" t="s">
        <v>54</v>
      </c>
    </row>
    <row r="12" spans="1:10" ht="19.5" customHeight="1" x14ac:dyDescent="0.25">
      <c r="A12" s="20">
        <v>4</v>
      </c>
      <c r="B12" s="7" t="s">
        <v>50</v>
      </c>
      <c r="C12" s="61">
        <v>0.66666666666666663</v>
      </c>
      <c r="D12" s="21" t="s">
        <v>55</v>
      </c>
      <c r="E12" s="67" t="s">
        <v>56</v>
      </c>
      <c r="F12" s="90">
        <v>2</v>
      </c>
      <c r="G12" s="11" t="s">
        <v>34</v>
      </c>
      <c r="H12" s="90">
        <v>0</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0</v>
      </c>
      <c r="G14" s="11" t="s">
        <v>34</v>
      </c>
      <c r="H14" s="91">
        <v>2</v>
      </c>
      <c r="I14" s="70" t="s">
        <v>63</v>
      </c>
      <c r="J14" s="64" t="s">
        <v>64</v>
      </c>
    </row>
    <row r="15" spans="1:10" ht="19.5" customHeight="1" x14ac:dyDescent="0.25">
      <c r="A15" s="24">
        <v>6</v>
      </c>
      <c r="B15" s="7" t="s">
        <v>60</v>
      </c>
      <c r="C15" s="61">
        <v>0.79166666666666663</v>
      </c>
      <c r="D15" s="25" t="s">
        <v>61</v>
      </c>
      <c r="E15" s="69" t="s">
        <v>65</v>
      </c>
      <c r="F15" s="91">
        <v>2</v>
      </c>
      <c r="G15" s="11" t="s">
        <v>34</v>
      </c>
      <c r="H15" s="91">
        <v>1</v>
      </c>
      <c r="I15" s="70" t="s">
        <v>66</v>
      </c>
      <c r="J15" s="64" t="s">
        <v>67</v>
      </c>
    </row>
    <row r="16" spans="1:10" ht="19.5" customHeight="1" x14ac:dyDescent="0.25">
      <c r="A16" s="16">
        <v>7</v>
      </c>
      <c r="B16" s="7" t="s">
        <v>60</v>
      </c>
      <c r="C16" s="61">
        <v>0.66666666666666663</v>
      </c>
      <c r="D16" s="17" t="s">
        <v>51</v>
      </c>
      <c r="E16" s="65" t="s">
        <v>68</v>
      </c>
      <c r="F16" s="89">
        <v>1</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2</v>
      </c>
      <c r="G18" s="11" t="s">
        <v>34</v>
      </c>
      <c r="H18" s="90">
        <v>2</v>
      </c>
      <c r="I18" s="68" t="s">
        <v>74</v>
      </c>
      <c r="J18" s="64" t="s">
        <v>75</v>
      </c>
    </row>
    <row r="19" spans="1:10" ht="19.5" customHeight="1" x14ac:dyDescent="0.25">
      <c r="A19" s="28">
        <v>9</v>
      </c>
      <c r="B19" s="7" t="s">
        <v>72</v>
      </c>
      <c r="C19" s="61">
        <v>0.58333333333333337</v>
      </c>
      <c r="D19" s="29" t="s">
        <v>76</v>
      </c>
      <c r="E19" s="71" t="s">
        <v>77</v>
      </c>
      <c r="F19" s="92">
        <v>1</v>
      </c>
      <c r="G19" s="11" t="s">
        <v>34</v>
      </c>
      <c r="H19" s="92">
        <v>2</v>
      </c>
      <c r="I19" s="72" t="s">
        <v>78</v>
      </c>
      <c r="J19" s="64" t="s">
        <v>79</v>
      </c>
    </row>
    <row r="20" spans="1:10" ht="19.5" customHeight="1" x14ac:dyDescent="0.25">
      <c r="A20" s="32">
        <v>10</v>
      </c>
      <c r="B20" s="7" t="s">
        <v>72</v>
      </c>
      <c r="C20" s="61">
        <v>0.70833333333333337</v>
      </c>
      <c r="D20" s="33" t="s">
        <v>80</v>
      </c>
      <c r="E20" s="73" t="s">
        <v>81</v>
      </c>
      <c r="F20" s="93">
        <v>0</v>
      </c>
      <c r="G20" s="11" t="s">
        <v>34</v>
      </c>
      <c r="H20" s="93">
        <v>1</v>
      </c>
      <c r="I20" s="74" t="s">
        <v>82</v>
      </c>
      <c r="J20" s="64" t="s">
        <v>83</v>
      </c>
    </row>
    <row r="21" spans="1:10" ht="19.5" customHeight="1" x14ac:dyDescent="0.25">
      <c r="A21" s="28">
        <v>11</v>
      </c>
      <c r="B21" s="7" t="s">
        <v>72</v>
      </c>
      <c r="C21" s="61">
        <v>0.83333333333333337</v>
      </c>
      <c r="D21" s="29" t="s">
        <v>76</v>
      </c>
      <c r="E21" s="71" t="s">
        <v>84</v>
      </c>
      <c r="F21" s="92">
        <v>0</v>
      </c>
      <c r="G21" s="11" t="s">
        <v>34</v>
      </c>
      <c r="H21" s="92">
        <v>1</v>
      </c>
      <c r="I21" s="72" t="s">
        <v>85</v>
      </c>
      <c r="J21" s="64" t="s">
        <v>86</v>
      </c>
    </row>
    <row r="22" spans="1:10" ht="19.5" customHeight="1" x14ac:dyDescent="0.25">
      <c r="A22" s="32">
        <v>12</v>
      </c>
      <c r="B22" s="7" t="s">
        <v>72</v>
      </c>
      <c r="C22" s="61">
        <v>0.95833333333333337</v>
      </c>
      <c r="D22" s="33" t="s">
        <v>80</v>
      </c>
      <c r="E22" s="73" t="s">
        <v>87</v>
      </c>
      <c r="F22" s="93">
        <v>1</v>
      </c>
      <c r="G22" s="11" t="s">
        <v>34</v>
      </c>
      <c r="H22" s="93">
        <v>1</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2</v>
      </c>
      <c r="G24" s="11" t="s">
        <v>34</v>
      </c>
      <c r="H24" s="94">
        <v>0</v>
      </c>
      <c r="I24" s="76" t="s">
        <v>94</v>
      </c>
      <c r="J24" s="64" t="s">
        <v>95</v>
      </c>
    </row>
    <row r="25" spans="1:10" ht="19.5" customHeight="1" x14ac:dyDescent="0.25">
      <c r="A25" s="40">
        <v>14</v>
      </c>
      <c r="B25" s="7" t="s">
        <v>91</v>
      </c>
      <c r="C25" s="61">
        <v>0.66666666666666663</v>
      </c>
      <c r="D25" s="41" t="s">
        <v>96</v>
      </c>
      <c r="E25" s="77" t="s">
        <v>97</v>
      </c>
      <c r="F25" s="95">
        <v>2</v>
      </c>
      <c r="G25" s="11" t="s">
        <v>34</v>
      </c>
      <c r="H25" s="95">
        <v>1</v>
      </c>
      <c r="I25" s="78" t="s">
        <v>98</v>
      </c>
      <c r="J25" s="64" t="s">
        <v>99</v>
      </c>
    </row>
    <row r="26" spans="1:10" ht="19.5" customHeight="1" x14ac:dyDescent="0.25">
      <c r="A26" s="36">
        <v>15</v>
      </c>
      <c r="B26" s="7" t="s">
        <v>91</v>
      </c>
      <c r="C26" s="61">
        <v>0.79166666666666663</v>
      </c>
      <c r="D26" s="37" t="s">
        <v>92</v>
      </c>
      <c r="E26" s="75" t="s">
        <v>100</v>
      </c>
      <c r="F26" s="94">
        <v>1</v>
      </c>
      <c r="G26" s="11" t="s">
        <v>34</v>
      </c>
      <c r="H26" s="94">
        <v>2</v>
      </c>
      <c r="I26" s="76" t="s">
        <v>101</v>
      </c>
      <c r="J26" s="64" t="s">
        <v>102</v>
      </c>
    </row>
    <row r="27" spans="1:10" ht="19.5" customHeight="1" x14ac:dyDescent="0.25">
      <c r="A27" s="40">
        <v>16</v>
      </c>
      <c r="B27" s="7" t="s">
        <v>91</v>
      </c>
      <c r="C27" s="61">
        <v>0.91666666666666663</v>
      </c>
      <c r="D27" s="41" t="s">
        <v>96</v>
      </c>
      <c r="E27" s="77" t="s">
        <v>103</v>
      </c>
      <c r="F27" s="95">
        <v>2</v>
      </c>
      <c r="G27" s="11" t="s">
        <v>34</v>
      </c>
      <c r="H27" s="95">
        <v>1</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c r="G29" s="11" t="s">
        <v>34</v>
      </c>
      <c r="H29" s="96"/>
      <c r="I29" s="80" t="s">
        <v>109</v>
      </c>
      <c r="J29" s="64" t="s">
        <v>67</v>
      </c>
    </row>
    <row r="30" spans="1:10" ht="19.5" customHeight="1" x14ac:dyDescent="0.25">
      <c r="A30" s="44">
        <v>18</v>
      </c>
      <c r="B30" s="7" t="s">
        <v>106</v>
      </c>
      <c r="C30" s="61">
        <v>0.79166666666666663</v>
      </c>
      <c r="D30" s="45" t="s">
        <v>107</v>
      </c>
      <c r="E30" s="79" t="s">
        <v>110</v>
      </c>
      <c r="F30" s="96"/>
      <c r="G30" s="11" t="s">
        <v>34</v>
      </c>
      <c r="H30" s="96"/>
      <c r="I30" s="80" t="s">
        <v>111</v>
      </c>
      <c r="J30" s="64" t="s">
        <v>64</v>
      </c>
    </row>
    <row r="31" spans="1:10" ht="19.5" customHeight="1" x14ac:dyDescent="0.25">
      <c r="A31" s="48">
        <v>19</v>
      </c>
      <c r="B31" s="7" t="s">
        <v>106</v>
      </c>
      <c r="C31" s="61">
        <v>0.91666666666666663</v>
      </c>
      <c r="D31" s="49" t="s">
        <v>112</v>
      </c>
      <c r="E31" s="81" t="s">
        <v>113</v>
      </c>
      <c r="F31" s="97"/>
      <c r="G31" s="11" t="s">
        <v>34</v>
      </c>
      <c r="H31" s="97"/>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c r="G33" s="11" t="s">
        <v>34</v>
      </c>
      <c r="H33" s="97"/>
      <c r="I33" s="82" t="s">
        <v>119</v>
      </c>
      <c r="J33" s="64" t="s">
        <v>70</v>
      </c>
    </row>
    <row r="34" spans="1:10" ht="19.5" customHeight="1" x14ac:dyDescent="0.25">
      <c r="A34" s="52">
        <v>21</v>
      </c>
      <c r="B34" s="7" t="s">
        <v>117</v>
      </c>
      <c r="C34" s="61">
        <v>0.58333333333333337</v>
      </c>
      <c r="D34" s="53" t="s">
        <v>120</v>
      </c>
      <c r="E34" s="83" t="s">
        <v>121</v>
      </c>
      <c r="F34" s="98"/>
      <c r="G34" s="11" t="s">
        <v>34</v>
      </c>
      <c r="H34" s="98"/>
      <c r="I34" s="84" t="s">
        <v>122</v>
      </c>
      <c r="J34" s="64" t="s">
        <v>79</v>
      </c>
    </row>
    <row r="35" spans="1:10" ht="19.5" customHeight="1" x14ac:dyDescent="0.25">
      <c r="A35" s="56">
        <v>22</v>
      </c>
      <c r="B35" s="7" t="s">
        <v>117</v>
      </c>
      <c r="C35" s="61">
        <v>0.70833333333333337</v>
      </c>
      <c r="D35" s="57" t="s">
        <v>123</v>
      </c>
      <c r="E35" s="85" t="s">
        <v>124</v>
      </c>
      <c r="F35" s="99"/>
      <c r="G35" s="11" t="s">
        <v>34</v>
      </c>
      <c r="H35" s="99"/>
      <c r="I35" s="86" t="s">
        <v>125</v>
      </c>
      <c r="J35" s="64" t="s">
        <v>83</v>
      </c>
    </row>
    <row r="36" spans="1:10" ht="19.5" customHeight="1" x14ac:dyDescent="0.25">
      <c r="A36" s="56">
        <v>23</v>
      </c>
      <c r="B36" s="7" t="s">
        <v>117</v>
      </c>
      <c r="C36" s="61">
        <v>0.83333333333333337</v>
      </c>
      <c r="D36" s="57" t="s">
        <v>123</v>
      </c>
      <c r="E36" s="85" t="s">
        <v>126</v>
      </c>
      <c r="F36" s="99"/>
      <c r="G36" s="11" t="s">
        <v>34</v>
      </c>
      <c r="H36" s="99"/>
      <c r="I36" s="86" t="s">
        <v>127</v>
      </c>
      <c r="J36" s="64" t="s">
        <v>54</v>
      </c>
    </row>
    <row r="37" spans="1:10" ht="19.5" customHeight="1" x14ac:dyDescent="0.25">
      <c r="A37" s="52">
        <v>24</v>
      </c>
      <c r="B37" s="7" t="s">
        <v>117</v>
      </c>
      <c r="C37" s="61">
        <v>0.95833333333333337</v>
      </c>
      <c r="D37" s="53" t="s">
        <v>120</v>
      </c>
      <c r="E37" s="83" t="s">
        <v>128</v>
      </c>
      <c r="F37" s="98"/>
      <c r="G37" s="11" t="s">
        <v>34</v>
      </c>
      <c r="H37" s="98"/>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c r="G39" s="11" t="s">
        <v>34</v>
      </c>
      <c r="H39" s="88"/>
      <c r="I39" s="63" t="s">
        <v>44</v>
      </c>
      <c r="J39" s="64" t="s">
        <v>95</v>
      </c>
    </row>
    <row r="40" spans="1:10" ht="19.5" customHeight="1" x14ac:dyDescent="0.25">
      <c r="A40" s="16">
        <v>26</v>
      </c>
      <c r="B40" s="7" t="s">
        <v>131</v>
      </c>
      <c r="C40" s="61">
        <v>0.66666666666666663</v>
      </c>
      <c r="D40" s="17" t="s">
        <v>51</v>
      </c>
      <c r="E40" s="65" t="s">
        <v>69</v>
      </c>
      <c r="F40" s="89"/>
      <c r="G40" s="11" t="s">
        <v>34</v>
      </c>
      <c r="H40" s="89"/>
      <c r="I40" s="66" t="s">
        <v>53</v>
      </c>
      <c r="J40" s="64" t="s">
        <v>58</v>
      </c>
    </row>
    <row r="41" spans="1:10" ht="19.5" customHeight="1" x14ac:dyDescent="0.25">
      <c r="A41" s="16">
        <v>27</v>
      </c>
      <c r="B41" s="7" t="s">
        <v>131</v>
      </c>
      <c r="C41" s="61">
        <v>0.79166666666666663</v>
      </c>
      <c r="D41" s="17" t="s">
        <v>51</v>
      </c>
      <c r="E41" s="65" t="s">
        <v>52</v>
      </c>
      <c r="F41" s="89"/>
      <c r="G41" s="11" t="s">
        <v>34</v>
      </c>
      <c r="H41" s="89"/>
      <c r="I41" s="66" t="s">
        <v>68</v>
      </c>
      <c r="J41" s="64" t="s">
        <v>75</v>
      </c>
    </row>
    <row r="42" spans="1:10" ht="19.5" customHeight="1" x14ac:dyDescent="0.25">
      <c r="A42" s="6">
        <v>28</v>
      </c>
      <c r="B42" s="7" t="s">
        <v>131</v>
      </c>
      <c r="C42" s="61">
        <v>0.91666666666666663</v>
      </c>
      <c r="D42" s="8" t="s">
        <v>42</v>
      </c>
      <c r="E42" s="62" t="s">
        <v>43</v>
      </c>
      <c r="F42" s="88"/>
      <c r="G42" s="11" t="s">
        <v>34</v>
      </c>
      <c r="H42" s="88"/>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1</v>
      </c>
      <c r="I44" s="68" t="s">
        <v>73</v>
      </c>
      <c r="J44" s="64" t="s">
        <v>99</v>
      </c>
    </row>
    <row r="45" spans="1:10" ht="19.5" customHeight="1" x14ac:dyDescent="0.25">
      <c r="A45" s="24">
        <v>30</v>
      </c>
      <c r="B45" s="7" t="s">
        <v>133</v>
      </c>
      <c r="C45" s="61">
        <v>0.79166666666666663</v>
      </c>
      <c r="D45" s="25" t="s">
        <v>61</v>
      </c>
      <c r="E45" s="69" t="s">
        <v>63</v>
      </c>
      <c r="F45" s="91">
        <v>0</v>
      </c>
      <c r="G45" s="11" t="s">
        <v>34</v>
      </c>
      <c r="H45" s="91">
        <v>1</v>
      </c>
      <c r="I45" s="70" t="s">
        <v>66</v>
      </c>
      <c r="J45" s="64" t="s">
        <v>64</v>
      </c>
    </row>
    <row r="46" spans="1:10" ht="19.5" customHeight="1" x14ac:dyDescent="0.25">
      <c r="A46" s="24">
        <v>31</v>
      </c>
      <c r="B46" s="7" t="s">
        <v>133</v>
      </c>
      <c r="C46" s="61">
        <v>0.89583333333333337</v>
      </c>
      <c r="D46" s="25" t="s">
        <v>61</v>
      </c>
      <c r="E46" s="69" t="s">
        <v>65</v>
      </c>
      <c r="F46" s="91">
        <v>3</v>
      </c>
      <c r="G46" s="11" t="s">
        <v>34</v>
      </c>
      <c r="H46" s="91">
        <v>1</v>
      </c>
      <c r="I46" s="70" t="s">
        <v>62</v>
      </c>
      <c r="J46" s="64" t="s">
        <v>86</v>
      </c>
    </row>
    <row r="47" spans="1:10" ht="19.5" customHeight="1" x14ac:dyDescent="0.25">
      <c r="A47" s="20">
        <v>32</v>
      </c>
      <c r="B47" s="7" t="s">
        <v>133</v>
      </c>
      <c r="C47" s="61">
        <v>0.99930555555555556</v>
      </c>
      <c r="D47" s="21" t="s">
        <v>55</v>
      </c>
      <c r="E47" s="67" t="s">
        <v>74</v>
      </c>
      <c r="F47" s="90">
        <v>1</v>
      </c>
      <c r="G47" s="11" t="s">
        <v>34</v>
      </c>
      <c r="H47" s="90">
        <v>1</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1</v>
      </c>
      <c r="G49" s="11" t="s">
        <v>34</v>
      </c>
      <c r="H49" s="93">
        <v>1</v>
      </c>
      <c r="I49" s="74" t="s">
        <v>87</v>
      </c>
      <c r="J49" s="64" t="s">
        <v>79</v>
      </c>
    </row>
    <row r="50" spans="1:10" ht="19.5" customHeight="1" x14ac:dyDescent="0.25">
      <c r="A50" s="28">
        <v>34</v>
      </c>
      <c r="B50" s="7" t="s">
        <v>135</v>
      </c>
      <c r="C50" s="61">
        <v>0.70833333333333337</v>
      </c>
      <c r="D50" s="29" t="s">
        <v>76</v>
      </c>
      <c r="E50" s="71" t="s">
        <v>77</v>
      </c>
      <c r="F50" s="92">
        <v>2</v>
      </c>
      <c r="G50" s="11" t="s">
        <v>34</v>
      </c>
      <c r="H50" s="92">
        <v>0</v>
      </c>
      <c r="I50" s="72" t="s">
        <v>84</v>
      </c>
      <c r="J50" s="64" t="s">
        <v>54</v>
      </c>
    </row>
    <row r="51" spans="1:10" ht="19.5" customHeight="1" x14ac:dyDescent="0.25">
      <c r="A51" s="28">
        <v>35</v>
      </c>
      <c r="B51" s="7" t="s">
        <v>135</v>
      </c>
      <c r="C51" s="61">
        <v>0.875</v>
      </c>
      <c r="D51" s="29" t="s">
        <v>76</v>
      </c>
      <c r="E51" s="71" t="s">
        <v>85</v>
      </c>
      <c r="F51" s="92">
        <v>1</v>
      </c>
      <c r="G51" s="11" t="s">
        <v>34</v>
      </c>
      <c r="H51" s="92">
        <v>1</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1</v>
      </c>
      <c r="G53" s="11" t="s">
        <v>34</v>
      </c>
      <c r="H53" s="93">
        <v>2</v>
      </c>
      <c r="I53" s="74" t="s">
        <v>82</v>
      </c>
      <c r="J53" s="64" t="s">
        <v>89</v>
      </c>
    </row>
    <row r="54" spans="1:10" ht="19.5" customHeight="1" x14ac:dyDescent="0.25">
      <c r="A54" s="36">
        <v>37</v>
      </c>
      <c r="B54" s="7" t="s">
        <v>137</v>
      </c>
      <c r="C54" s="61">
        <v>0.54166666666666663</v>
      </c>
      <c r="D54" s="37" t="s">
        <v>92</v>
      </c>
      <c r="E54" s="75" t="s">
        <v>93</v>
      </c>
      <c r="F54" s="94">
        <v>3</v>
      </c>
      <c r="G54" s="11" t="s">
        <v>34</v>
      </c>
      <c r="H54" s="94">
        <v>2</v>
      </c>
      <c r="I54" s="76" t="s">
        <v>100</v>
      </c>
      <c r="J54" s="64" t="s">
        <v>95</v>
      </c>
    </row>
    <row r="55" spans="1:10" ht="19.5" customHeight="1" x14ac:dyDescent="0.25">
      <c r="A55" s="40">
        <v>38</v>
      </c>
      <c r="B55" s="7" t="s">
        <v>137</v>
      </c>
      <c r="C55" s="61">
        <v>0.66666666666666663</v>
      </c>
      <c r="D55" s="41" t="s">
        <v>96</v>
      </c>
      <c r="E55" s="77" t="s">
        <v>97</v>
      </c>
      <c r="F55" s="95">
        <v>1</v>
      </c>
      <c r="G55" s="11" t="s">
        <v>34</v>
      </c>
      <c r="H55" s="95">
        <v>1</v>
      </c>
      <c r="I55" s="78" t="s">
        <v>103</v>
      </c>
      <c r="J55" s="64" t="s">
        <v>58</v>
      </c>
    </row>
    <row r="56" spans="1:10" ht="19.5" customHeight="1" x14ac:dyDescent="0.25">
      <c r="A56" s="36">
        <v>39</v>
      </c>
      <c r="B56" s="7" t="s">
        <v>137</v>
      </c>
      <c r="C56" s="61">
        <v>0.79166666666666663</v>
      </c>
      <c r="D56" s="37" t="s">
        <v>92</v>
      </c>
      <c r="E56" s="75" t="s">
        <v>101</v>
      </c>
      <c r="F56" s="94">
        <v>2</v>
      </c>
      <c r="G56" s="11" t="s">
        <v>34</v>
      </c>
      <c r="H56" s="94">
        <v>1</v>
      </c>
      <c r="I56" s="76" t="s">
        <v>94</v>
      </c>
      <c r="J56" s="64" t="s">
        <v>102</v>
      </c>
    </row>
    <row r="57" spans="1:10" ht="19.5" customHeight="1" x14ac:dyDescent="0.25">
      <c r="A57" s="40">
        <v>40</v>
      </c>
      <c r="B57" s="7" t="s">
        <v>137</v>
      </c>
      <c r="C57" s="61">
        <v>0.91666666666666663</v>
      </c>
      <c r="D57" s="41" t="s">
        <v>96</v>
      </c>
      <c r="E57" s="77" t="s">
        <v>104</v>
      </c>
      <c r="F57" s="95">
        <v>1</v>
      </c>
      <c r="G57" s="11" t="s">
        <v>34</v>
      </c>
      <c r="H57" s="95">
        <v>1</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2</v>
      </c>
      <c r="G59" s="11" t="s">
        <v>34</v>
      </c>
      <c r="H59" s="97">
        <v>1</v>
      </c>
      <c r="I59" s="82" t="s">
        <v>118</v>
      </c>
      <c r="J59" s="64" t="s">
        <v>83</v>
      </c>
    </row>
    <row r="60" spans="1:10" ht="19.5" customHeight="1" x14ac:dyDescent="0.25">
      <c r="A60" s="44">
        <v>42</v>
      </c>
      <c r="B60" s="7" t="s">
        <v>139</v>
      </c>
      <c r="C60" s="61">
        <v>0.75</v>
      </c>
      <c r="D60" s="45" t="s">
        <v>107</v>
      </c>
      <c r="E60" s="79" t="s">
        <v>108</v>
      </c>
      <c r="F60" s="96">
        <v>3</v>
      </c>
      <c r="G60" s="11" t="s">
        <v>34</v>
      </c>
      <c r="H60" s="96">
        <v>0</v>
      </c>
      <c r="I60" s="80" t="s">
        <v>110</v>
      </c>
      <c r="J60" s="64" t="s">
        <v>86</v>
      </c>
    </row>
    <row r="61" spans="1:10" ht="19.5" customHeight="1" x14ac:dyDescent="0.25">
      <c r="A61" s="44">
        <v>43</v>
      </c>
      <c r="B61" s="7" t="s">
        <v>139</v>
      </c>
      <c r="C61" s="61">
        <v>0.875</v>
      </c>
      <c r="D61" s="45" t="s">
        <v>107</v>
      </c>
      <c r="E61" s="79" t="s">
        <v>111</v>
      </c>
      <c r="F61" s="96">
        <v>1</v>
      </c>
      <c r="G61" s="11" t="s">
        <v>34</v>
      </c>
      <c r="H61" s="96">
        <v>2</v>
      </c>
      <c r="I61" s="80" t="s">
        <v>109</v>
      </c>
      <c r="J61" s="64" t="s">
        <v>67</v>
      </c>
    </row>
    <row r="62" spans="1:10" ht="19.5" customHeight="1" x14ac:dyDescent="0.25">
      <c r="A62" s="48">
        <v>44</v>
      </c>
      <c r="B62" s="7" t="s">
        <v>139</v>
      </c>
      <c r="C62" s="61">
        <v>0.99930555555555556</v>
      </c>
      <c r="D62" s="49" t="s">
        <v>112</v>
      </c>
      <c r="E62" s="81" t="s">
        <v>119</v>
      </c>
      <c r="F62" s="97">
        <v>0</v>
      </c>
      <c r="G62" s="11" t="s">
        <v>34</v>
      </c>
      <c r="H62" s="97">
        <v>0</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2</v>
      </c>
      <c r="G64" s="11" t="s">
        <v>34</v>
      </c>
      <c r="H64" s="98">
        <v>0</v>
      </c>
      <c r="I64" s="84" t="s">
        <v>128</v>
      </c>
      <c r="J64" s="64" t="s">
        <v>79</v>
      </c>
    </row>
    <row r="65" spans="1:10" ht="19.5" customHeight="1" x14ac:dyDescent="0.25">
      <c r="A65" s="56">
        <v>46</v>
      </c>
      <c r="B65" s="7" t="s">
        <v>141</v>
      </c>
      <c r="C65" s="61">
        <v>0.70833333333333337</v>
      </c>
      <c r="D65" s="57" t="s">
        <v>123</v>
      </c>
      <c r="E65" s="85" t="s">
        <v>124</v>
      </c>
      <c r="F65" s="99">
        <v>3</v>
      </c>
      <c r="G65" s="11" t="s">
        <v>34</v>
      </c>
      <c r="H65" s="99">
        <v>1</v>
      </c>
      <c r="I65" s="86" t="s">
        <v>126</v>
      </c>
      <c r="J65" s="64" t="s">
        <v>64</v>
      </c>
    </row>
    <row r="66" spans="1:10" ht="19.5" customHeight="1" x14ac:dyDescent="0.25">
      <c r="A66" s="56">
        <v>47</v>
      </c>
      <c r="B66" s="7" t="s">
        <v>141</v>
      </c>
      <c r="C66" s="61">
        <v>0.83333333333333337</v>
      </c>
      <c r="D66" s="57" t="s">
        <v>123</v>
      </c>
      <c r="E66" s="85" t="s">
        <v>127</v>
      </c>
      <c r="F66" s="99">
        <v>2</v>
      </c>
      <c r="G66" s="11" t="s">
        <v>34</v>
      </c>
      <c r="H66" s="99">
        <v>1</v>
      </c>
      <c r="I66" s="86" t="s">
        <v>125</v>
      </c>
      <c r="J66" s="64" t="s">
        <v>54</v>
      </c>
    </row>
    <row r="67" spans="1:10" ht="19.5" customHeight="1" x14ac:dyDescent="0.25">
      <c r="A67" s="52">
        <v>48</v>
      </c>
      <c r="B67" s="7" t="s">
        <v>141</v>
      </c>
      <c r="C67" s="61">
        <v>0.95833333333333337</v>
      </c>
      <c r="D67" s="53" t="s">
        <v>120</v>
      </c>
      <c r="E67" s="83" t="s">
        <v>129</v>
      </c>
      <c r="F67" s="98">
        <v>3</v>
      </c>
      <c r="G67" s="11" t="s">
        <v>34</v>
      </c>
      <c r="H67" s="98">
        <v>2</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1</v>
      </c>
      <c r="G69" s="11" t="s">
        <v>34</v>
      </c>
      <c r="H69" s="89">
        <v>1</v>
      </c>
      <c r="I69" s="66" t="s">
        <v>52</v>
      </c>
      <c r="J69" s="64" t="s">
        <v>75</v>
      </c>
    </row>
    <row r="70" spans="1:10" ht="19.5" customHeight="1" x14ac:dyDescent="0.25">
      <c r="A70" s="16">
        <v>50</v>
      </c>
      <c r="B70" s="7" t="s">
        <v>143</v>
      </c>
      <c r="C70" s="61">
        <v>0.66666666666666663</v>
      </c>
      <c r="D70" s="17" t="s">
        <v>51</v>
      </c>
      <c r="E70" s="65" t="s">
        <v>53</v>
      </c>
      <c r="F70" s="89">
        <v>0</v>
      </c>
      <c r="G70" s="11" t="s">
        <v>34</v>
      </c>
      <c r="H70" s="89">
        <v>2</v>
      </c>
      <c r="I70" s="66" t="s">
        <v>68</v>
      </c>
      <c r="J70" s="64" t="s">
        <v>99</v>
      </c>
    </row>
    <row r="71" spans="1:10" ht="19.5" customHeight="1" x14ac:dyDescent="0.25">
      <c r="A71" s="24">
        <v>51</v>
      </c>
      <c r="B71" s="7" t="s">
        <v>143</v>
      </c>
      <c r="C71" s="61">
        <v>0.79166666666666663</v>
      </c>
      <c r="D71" s="25" t="s">
        <v>61</v>
      </c>
      <c r="E71" s="69" t="s">
        <v>63</v>
      </c>
      <c r="F71" s="91">
        <v>1</v>
      </c>
      <c r="G71" s="11" t="s">
        <v>34</v>
      </c>
      <c r="H71" s="91">
        <v>2</v>
      </c>
      <c r="I71" s="70" t="s">
        <v>65</v>
      </c>
      <c r="J71" s="64" t="s">
        <v>102</v>
      </c>
    </row>
    <row r="72" spans="1:10" ht="19.5" customHeight="1" x14ac:dyDescent="0.25">
      <c r="A72" s="24">
        <v>52</v>
      </c>
      <c r="B72" s="7" t="s">
        <v>143</v>
      </c>
      <c r="C72" s="61">
        <v>0.79166666666666663</v>
      </c>
      <c r="D72" s="25" t="s">
        <v>61</v>
      </c>
      <c r="E72" s="69" t="s">
        <v>66</v>
      </c>
      <c r="F72" s="91">
        <v>1</v>
      </c>
      <c r="G72" s="11" t="s">
        <v>34</v>
      </c>
      <c r="H72" s="91">
        <v>1</v>
      </c>
      <c r="I72" s="70" t="s">
        <v>62</v>
      </c>
      <c r="J72" s="64" t="s">
        <v>95</v>
      </c>
    </row>
    <row r="73" spans="1:10" ht="19.5" customHeight="1" x14ac:dyDescent="0.25">
      <c r="A73" s="6">
        <v>53</v>
      </c>
      <c r="B73" s="7" t="s">
        <v>143</v>
      </c>
      <c r="C73" s="61">
        <v>0.91666666666666663</v>
      </c>
      <c r="D73" s="8" t="s">
        <v>42</v>
      </c>
      <c r="E73" s="62" t="s">
        <v>47</v>
      </c>
      <c r="F73" s="88">
        <v>1</v>
      </c>
      <c r="G73" s="11" t="s">
        <v>34</v>
      </c>
      <c r="H73" s="88">
        <v>2</v>
      </c>
      <c r="I73" s="63" t="s">
        <v>43</v>
      </c>
      <c r="J73" s="64" t="s">
        <v>45</v>
      </c>
    </row>
    <row r="74" spans="1:10" ht="19.5" customHeight="1" x14ac:dyDescent="0.25">
      <c r="A74" s="6">
        <v>54</v>
      </c>
      <c r="B74" s="7" t="s">
        <v>143</v>
      </c>
      <c r="C74" s="61">
        <v>0.91666666666666663</v>
      </c>
      <c r="D74" s="8" t="s">
        <v>42</v>
      </c>
      <c r="E74" s="62" t="s">
        <v>44</v>
      </c>
      <c r="F74" s="88">
        <v>1</v>
      </c>
      <c r="G74" s="11" t="s">
        <v>34</v>
      </c>
      <c r="H74" s="88">
        <v>2</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c r="G76" s="11" t="s">
        <v>34</v>
      </c>
      <c r="H76" s="92"/>
      <c r="I76" s="72" t="s">
        <v>84</v>
      </c>
      <c r="J76" s="64" t="s">
        <v>86</v>
      </c>
    </row>
    <row r="77" spans="1:10" ht="19.5" customHeight="1" x14ac:dyDescent="0.25">
      <c r="A77" s="28">
        <v>56</v>
      </c>
      <c r="B77" s="7" t="s">
        <v>145</v>
      </c>
      <c r="C77" s="61">
        <v>0.70833333333333337</v>
      </c>
      <c r="D77" s="29" t="s">
        <v>76</v>
      </c>
      <c r="E77" s="71" t="s">
        <v>85</v>
      </c>
      <c r="F77" s="92"/>
      <c r="G77" s="11" t="s">
        <v>34</v>
      </c>
      <c r="H77" s="92"/>
      <c r="I77" s="72" t="s">
        <v>77</v>
      </c>
      <c r="J77" s="64" t="s">
        <v>67</v>
      </c>
    </row>
    <row r="78" spans="1:10" ht="19.5" customHeight="1" x14ac:dyDescent="0.25">
      <c r="A78" s="32">
        <v>57</v>
      </c>
      <c r="B78" s="7" t="s">
        <v>145</v>
      </c>
      <c r="C78" s="61">
        <v>0.83333333333333337</v>
      </c>
      <c r="D78" s="33" t="s">
        <v>80</v>
      </c>
      <c r="E78" s="73" t="s">
        <v>82</v>
      </c>
      <c r="F78" s="93"/>
      <c r="G78" s="11" t="s">
        <v>34</v>
      </c>
      <c r="H78" s="93"/>
      <c r="I78" s="74" t="s">
        <v>87</v>
      </c>
      <c r="J78" s="64" t="s">
        <v>83</v>
      </c>
    </row>
    <row r="79" spans="1:10" ht="19.5" customHeight="1" x14ac:dyDescent="0.25">
      <c r="A79" s="32">
        <v>58</v>
      </c>
      <c r="B79" s="7" t="s">
        <v>145</v>
      </c>
      <c r="C79" s="61">
        <v>0.83333333333333337</v>
      </c>
      <c r="D79" s="33" t="s">
        <v>80</v>
      </c>
      <c r="E79" s="73" t="s">
        <v>88</v>
      </c>
      <c r="F79" s="93"/>
      <c r="G79" s="11" t="s">
        <v>34</v>
      </c>
      <c r="H79" s="93"/>
      <c r="I79" s="74" t="s">
        <v>81</v>
      </c>
      <c r="J79" s="64" t="s">
        <v>115</v>
      </c>
    </row>
    <row r="80" spans="1:10" ht="19.5" customHeight="1" x14ac:dyDescent="0.25">
      <c r="A80" s="20">
        <v>59</v>
      </c>
      <c r="B80" s="7" t="s">
        <v>145</v>
      </c>
      <c r="C80" s="61">
        <v>0.95833333333333337</v>
      </c>
      <c r="D80" s="21" t="s">
        <v>55</v>
      </c>
      <c r="E80" s="67" t="s">
        <v>74</v>
      </c>
      <c r="F80" s="90"/>
      <c r="G80" s="11" t="s">
        <v>34</v>
      </c>
      <c r="H80" s="90"/>
      <c r="I80" s="68" t="s">
        <v>56</v>
      </c>
      <c r="J80" s="64" t="s">
        <v>58</v>
      </c>
    </row>
    <row r="81" spans="1:10" ht="19.5" customHeight="1" x14ac:dyDescent="0.25">
      <c r="A81" s="20">
        <v>60</v>
      </c>
      <c r="B81" s="7" t="s">
        <v>145</v>
      </c>
      <c r="C81" s="61">
        <v>0.95833333333333337</v>
      </c>
      <c r="D81" s="21" t="s">
        <v>55</v>
      </c>
      <c r="E81" s="67" t="s">
        <v>57</v>
      </c>
      <c r="F81" s="90"/>
      <c r="G81" s="11" t="s">
        <v>34</v>
      </c>
      <c r="H81" s="90"/>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c r="G83" s="11" t="s">
        <v>34</v>
      </c>
      <c r="H83" s="96"/>
      <c r="I83" s="80" t="s">
        <v>108</v>
      </c>
      <c r="J83" s="64" t="s">
        <v>64</v>
      </c>
    </row>
    <row r="84" spans="1:10" ht="19.5" customHeight="1" x14ac:dyDescent="0.25">
      <c r="A84" s="44">
        <v>62</v>
      </c>
      <c r="B84" s="7" t="s">
        <v>147</v>
      </c>
      <c r="C84" s="61">
        <v>0.66666666666666663</v>
      </c>
      <c r="D84" s="45" t="s">
        <v>107</v>
      </c>
      <c r="E84" s="79" t="s">
        <v>109</v>
      </c>
      <c r="F84" s="96"/>
      <c r="G84" s="11" t="s">
        <v>34</v>
      </c>
      <c r="H84" s="96"/>
      <c r="I84" s="80" t="s">
        <v>110</v>
      </c>
      <c r="J84" s="64" t="s">
        <v>54</v>
      </c>
    </row>
    <row r="85" spans="1:10" ht="19.5" customHeight="1" x14ac:dyDescent="0.25">
      <c r="A85" s="36">
        <v>63</v>
      </c>
      <c r="B85" s="7" t="s">
        <v>147</v>
      </c>
      <c r="C85" s="61">
        <v>0.875</v>
      </c>
      <c r="D85" s="37" t="s">
        <v>92</v>
      </c>
      <c r="E85" s="75" t="s">
        <v>94</v>
      </c>
      <c r="F85" s="94"/>
      <c r="G85" s="11" t="s">
        <v>34</v>
      </c>
      <c r="H85" s="94"/>
      <c r="I85" s="76" t="s">
        <v>100</v>
      </c>
      <c r="J85" s="64" t="s">
        <v>79</v>
      </c>
    </row>
    <row r="86" spans="1:10" ht="19.5" customHeight="1" x14ac:dyDescent="0.25">
      <c r="A86" s="36">
        <v>64</v>
      </c>
      <c r="B86" s="7" t="s">
        <v>147</v>
      </c>
      <c r="C86" s="61">
        <v>0.875</v>
      </c>
      <c r="D86" s="37" t="s">
        <v>92</v>
      </c>
      <c r="E86" s="75" t="s">
        <v>101</v>
      </c>
      <c r="F86" s="94"/>
      <c r="G86" s="11" t="s">
        <v>34</v>
      </c>
      <c r="H86" s="94"/>
      <c r="I86" s="76" t="s">
        <v>93</v>
      </c>
      <c r="J86" s="64" t="s">
        <v>48</v>
      </c>
    </row>
    <row r="87" spans="1:10" ht="19.5" customHeight="1" x14ac:dyDescent="0.25">
      <c r="A87" s="40">
        <v>65</v>
      </c>
      <c r="B87" s="7" t="s">
        <v>147</v>
      </c>
      <c r="C87" s="61">
        <v>0.99930555555555556</v>
      </c>
      <c r="D87" s="41" t="s">
        <v>96</v>
      </c>
      <c r="E87" s="77" t="s">
        <v>98</v>
      </c>
      <c r="F87" s="95"/>
      <c r="G87" s="11" t="s">
        <v>34</v>
      </c>
      <c r="H87" s="95"/>
      <c r="I87" s="78" t="s">
        <v>103</v>
      </c>
      <c r="J87" s="64" t="s">
        <v>99</v>
      </c>
    </row>
    <row r="88" spans="1:10" ht="19.5" customHeight="1" x14ac:dyDescent="0.25">
      <c r="A88" s="40">
        <v>66</v>
      </c>
      <c r="B88" s="7" t="s">
        <v>147</v>
      </c>
      <c r="C88" s="61">
        <v>0.99930555555555556</v>
      </c>
      <c r="D88" s="41" t="s">
        <v>96</v>
      </c>
      <c r="E88" s="77" t="s">
        <v>104</v>
      </c>
      <c r="F88" s="95"/>
      <c r="G88" s="11" t="s">
        <v>34</v>
      </c>
      <c r="H88" s="95"/>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c r="G90" s="11" t="s">
        <v>34</v>
      </c>
      <c r="H90" s="99"/>
      <c r="I90" s="86" t="s">
        <v>124</v>
      </c>
      <c r="J90" s="64" t="s">
        <v>67</v>
      </c>
    </row>
    <row r="91" spans="1:10" ht="19.5" customHeight="1" x14ac:dyDescent="0.25">
      <c r="A91" s="56">
        <v>68</v>
      </c>
      <c r="B91" s="7" t="s">
        <v>149</v>
      </c>
      <c r="C91" s="61">
        <v>0.75</v>
      </c>
      <c r="D91" s="57" t="s">
        <v>123</v>
      </c>
      <c r="E91" s="85" t="s">
        <v>125</v>
      </c>
      <c r="F91" s="99"/>
      <c r="G91" s="11" t="s">
        <v>34</v>
      </c>
      <c r="H91" s="99"/>
      <c r="I91" s="86" t="s">
        <v>126</v>
      </c>
      <c r="J91" s="64" t="s">
        <v>86</v>
      </c>
    </row>
    <row r="92" spans="1:10" ht="19.5" customHeight="1" x14ac:dyDescent="0.25">
      <c r="A92" s="52">
        <v>69</v>
      </c>
      <c r="B92" s="7" t="s">
        <v>149</v>
      </c>
      <c r="C92" s="61">
        <v>0.85416666666666663</v>
      </c>
      <c r="D92" s="53" t="s">
        <v>120</v>
      </c>
      <c r="E92" s="83" t="s">
        <v>129</v>
      </c>
      <c r="F92" s="98"/>
      <c r="G92" s="11" t="s">
        <v>34</v>
      </c>
      <c r="H92" s="98"/>
      <c r="I92" s="84" t="s">
        <v>121</v>
      </c>
      <c r="J92" s="64" t="s">
        <v>102</v>
      </c>
    </row>
    <row r="93" spans="1:10" ht="19.5" customHeight="1" x14ac:dyDescent="0.25">
      <c r="A93" s="52">
        <v>70</v>
      </c>
      <c r="B93" s="7" t="s">
        <v>149</v>
      </c>
      <c r="C93" s="61">
        <v>0.85416666666666663</v>
      </c>
      <c r="D93" s="53" t="s">
        <v>120</v>
      </c>
      <c r="E93" s="83" t="s">
        <v>122</v>
      </c>
      <c r="F93" s="98"/>
      <c r="G93" s="11" t="s">
        <v>34</v>
      </c>
      <c r="H93" s="98"/>
      <c r="I93" s="84" t="s">
        <v>128</v>
      </c>
      <c r="J93" s="64" t="s">
        <v>95</v>
      </c>
    </row>
    <row r="94" spans="1:10" ht="19.5" customHeight="1" x14ac:dyDescent="0.25">
      <c r="A94" s="48">
        <v>71</v>
      </c>
      <c r="B94" s="7" t="s">
        <v>149</v>
      </c>
      <c r="C94" s="61">
        <v>0.95833333333333337</v>
      </c>
      <c r="D94" s="49" t="s">
        <v>112</v>
      </c>
      <c r="E94" s="81" t="s">
        <v>114</v>
      </c>
      <c r="F94" s="97"/>
      <c r="G94" s="11" t="s">
        <v>34</v>
      </c>
      <c r="H94" s="97"/>
      <c r="I94" s="82" t="s">
        <v>118</v>
      </c>
      <c r="J94" s="64" t="s">
        <v>115</v>
      </c>
    </row>
    <row r="95" spans="1:10" ht="19.5" customHeight="1" x14ac:dyDescent="0.25">
      <c r="A95" s="48">
        <v>72</v>
      </c>
      <c r="B95" s="7" t="s">
        <v>149</v>
      </c>
      <c r="C95" s="61">
        <v>0.95833333333333337</v>
      </c>
      <c r="D95" s="49" t="s">
        <v>112</v>
      </c>
      <c r="E95" s="81" t="s">
        <v>119</v>
      </c>
      <c r="F95" s="97"/>
      <c r="G95" s="11" t="s">
        <v>34</v>
      </c>
      <c r="H95" s="97"/>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33"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32"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5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J1000"/>
  <sheetViews>
    <sheetView topLeftCell="A7" zoomScaleNormal="100" workbookViewId="0">
      <selection activeCell="E2" sqref="E2:J2"/>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20</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c r="G8" s="11" t="s">
        <v>34</v>
      </c>
      <c r="H8" s="88"/>
      <c r="I8" s="63" t="s">
        <v>44</v>
      </c>
      <c r="J8" s="64" t="s">
        <v>45</v>
      </c>
    </row>
    <row r="9" spans="1:10" ht="19.5" customHeight="1" x14ac:dyDescent="0.25">
      <c r="A9" s="6">
        <v>2</v>
      </c>
      <c r="B9" s="7" t="s">
        <v>41</v>
      </c>
      <c r="C9" s="61">
        <v>0.95833333333333337</v>
      </c>
      <c r="D9" s="8" t="s">
        <v>42</v>
      </c>
      <c r="E9" s="62" t="s">
        <v>46</v>
      </c>
      <c r="F9" s="88"/>
      <c r="G9" s="11" t="s">
        <v>34</v>
      </c>
      <c r="H9" s="88"/>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c r="G11" s="11" t="s">
        <v>34</v>
      </c>
      <c r="H11" s="89"/>
      <c r="I11" s="66" t="s">
        <v>53</v>
      </c>
      <c r="J11" s="64" t="s">
        <v>54</v>
      </c>
    </row>
    <row r="12" spans="1:10" ht="19.5" customHeight="1" x14ac:dyDescent="0.25">
      <c r="A12" s="20">
        <v>4</v>
      </c>
      <c r="B12" s="7" t="s">
        <v>50</v>
      </c>
      <c r="C12" s="61">
        <v>0.66666666666666663</v>
      </c>
      <c r="D12" s="21" t="s">
        <v>55</v>
      </c>
      <c r="E12" s="67" t="s">
        <v>56</v>
      </c>
      <c r="F12" s="90"/>
      <c r="G12" s="11" t="s">
        <v>34</v>
      </c>
      <c r="H12" s="90"/>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c r="G14" s="11" t="s">
        <v>34</v>
      </c>
      <c r="H14" s="91"/>
      <c r="I14" s="70" t="s">
        <v>63</v>
      </c>
      <c r="J14" s="64" t="s">
        <v>64</v>
      </c>
    </row>
    <row r="15" spans="1:10" ht="19.5" customHeight="1" x14ac:dyDescent="0.25">
      <c r="A15" s="24">
        <v>6</v>
      </c>
      <c r="B15" s="7" t="s">
        <v>60</v>
      </c>
      <c r="C15" s="61">
        <v>0.79166666666666663</v>
      </c>
      <c r="D15" s="25" t="s">
        <v>61</v>
      </c>
      <c r="E15" s="69" t="s">
        <v>65</v>
      </c>
      <c r="F15" s="91"/>
      <c r="G15" s="11" t="s">
        <v>34</v>
      </c>
      <c r="H15" s="91"/>
      <c r="I15" s="70" t="s">
        <v>66</v>
      </c>
      <c r="J15" s="64" t="s">
        <v>67</v>
      </c>
    </row>
    <row r="16" spans="1:10" ht="19.5" customHeight="1" x14ac:dyDescent="0.25">
      <c r="A16" s="16">
        <v>7</v>
      </c>
      <c r="B16" s="7" t="s">
        <v>60</v>
      </c>
      <c r="C16" s="61">
        <v>0.66666666666666663</v>
      </c>
      <c r="D16" s="17" t="s">
        <v>51</v>
      </c>
      <c r="E16" s="65" t="s">
        <v>68</v>
      </c>
      <c r="F16" s="89"/>
      <c r="G16" s="11" t="s">
        <v>34</v>
      </c>
      <c r="H16" s="89"/>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c r="G18" s="11" t="s">
        <v>34</v>
      </c>
      <c r="H18" s="90"/>
      <c r="I18" s="68" t="s">
        <v>74</v>
      </c>
      <c r="J18" s="64" t="s">
        <v>75</v>
      </c>
    </row>
    <row r="19" spans="1:10" ht="19.5" customHeight="1" x14ac:dyDescent="0.25">
      <c r="A19" s="28">
        <v>9</v>
      </c>
      <c r="B19" s="7" t="s">
        <v>72</v>
      </c>
      <c r="C19" s="61">
        <v>0.58333333333333337</v>
      </c>
      <c r="D19" s="29" t="s">
        <v>76</v>
      </c>
      <c r="E19" s="71" t="s">
        <v>77</v>
      </c>
      <c r="F19" s="92"/>
      <c r="G19" s="11" t="s">
        <v>34</v>
      </c>
      <c r="H19" s="92"/>
      <c r="I19" s="72" t="s">
        <v>78</v>
      </c>
      <c r="J19" s="64" t="s">
        <v>79</v>
      </c>
    </row>
    <row r="20" spans="1:10" ht="19.5" customHeight="1" x14ac:dyDescent="0.25">
      <c r="A20" s="32">
        <v>10</v>
      </c>
      <c r="B20" s="7" t="s">
        <v>72</v>
      </c>
      <c r="C20" s="61">
        <v>0.70833333333333337</v>
      </c>
      <c r="D20" s="33" t="s">
        <v>80</v>
      </c>
      <c r="E20" s="73" t="s">
        <v>81</v>
      </c>
      <c r="F20" s="93"/>
      <c r="G20" s="11" t="s">
        <v>34</v>
      </c>
      <c r="H20" s="93"/>
      <c r="I20" s="74" t="s">
        <v>82</v>
      </c>
      <c r="J20" s="64" t="s">
        <v>83</v>
      </c>
    </row>
    <row r="21" spans="1:10" ht="19.5" customHeight="1" x14ac:dyDescent="0.25">
      <c r="A21" s="28">
        <v>11</v>
      </c>
      <c r="B21" s="7" t="s">
        <v>72</v>
      </c>
      <c r="C21" s="61">
        <v>0.83333333333333337</v>
      </c>
      <c r="D21" s="29" t="s">
        <v>76</v>
      </c>
      <c r="E21" s="71" t="s">
        <v>84</v>
      </c>
      <c r="F21" s="92"/>
      <c r="G21" s="11" t="s">
        <v>34</v>
      </c>
      <c r="H21" s="92"/>
      <c r="I21" s="72" t="s">
        <v>85</v>
      </c>
      <c r="J21" s="64" t="s">
        <v>86</v>
      </c>
    </row>
    <row r="22" spans="1:10" ht="19.5" customHeight="1" x14ac:dyDescent="0.25">
      <c r="A22" s="32">
        <v>12</v>
      </c>
      <c r="B22" s="7" t="s">
        <v>72</v>
      </c>
      <c r="C22" s="61">
        <v>0.95833333333333337</v>
      </c>
      <c r="D22" s="33" t="s">
        <v>80</v>
      </c>
      <c r="E22" s="73" t="s">
        <v>87</v>
      </c>
      <c r="F22" s="93"/>
      <c r="G22" s="11" t="s">
        <v>34</v>
      </c>
      <c r="H22" s="93"/>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c r="G24" s="11" t="s">
        <v>34</v>
      </c>
      <c r="H24" s="94"/>
      <c r="I24" s="76" t="s">
        <v>94</v>
      </c>
      <c r="J24" s="64" t="s">
        <v>95</v>
      </c>
    </row>
    <row r="25" spans="1:10" ht="19.5" customHeight="1" x14ac:dyDescent="0.25">
      <c r="A25" s="40">
        <v>14</v>
      </c>
      <c r="B25" s="7" t="s">
        <v>91</v>
      </c>
      <c r="C25" s="61">
        <v>0.66666666666666663</v>
      </c>
      <c r="D25" s="41" t="s">
        <v>96</v>
      </c>
      <c r="E25" s="77" t="s">
        <v>97</v>
      </c>
      <c r="F25" s="95"/>
      <c r="G25" s="11" t="s">
        <v>34</v>
      </c>
      <c r="H25" s="95"/>
      <c r="I25" s="78" t="s">
        <v>98</v>
      </c>
      <c r="J25" s="64" t="s">
        <v>99</v>
      </c>
    </row>
    <row r="26" spans="1:10" ht="19.5" customHeight="1" x14ac:dyDescent="0.25">
      <c r="A26" s="36">
        <v>15</v>
      </c>
      <c r="B26" s="7" t="s">
        <v>91</v>
      </c>
      <c r="C26" s="61">
        <v>0.79166666666666663</v>
      </c>
      <c r="D26" s="37" t="s">
        <v>92</v>
      </c>
      <c r="E26" s="75" t="s">
        <v>100</v>
      </c>
      <c r="F26" s="94"/>
      <c r="G26" s="11" t="s">
        <v>34</v>
      </c>
      <c r="H26" s="94"/>
      <c r="I26" s="76" t="s">
        <v>101</v>
      </c>
      <c r="J26" s="64" t="s">
        <v>102</v>
      </c>
    </row>
    <row r="27" spans="1:10" ht="19.5" customHeight="1" x14ac:dyDescent="0.25">
      <c r="A27" s="40">
        <v>16</v>
      </c>
      <c r="B27" s="7" t="s">
        <v>91</v>
      </c>
      <c r="C27" s="61">
        <v>0.91666666666666663</v>
      </c>
      <c r="D27" s="41" t="s">
        <v>96</v>
      </c>
      <c r="E27" s="77" t="s">
        <v>103</v>
      </c>
      <c r="F27" s="95"/>
      <c r="G27" s="11" t="s">
        <v>34</v>
      </c>
      <c r="H27" s="95"/>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c r="G29" s="11" t="s">
        <v>34</v>
      </c>
      <c r="H29" s="96"/>
      <c r="I29" s="80" t="s">
        <v>109</v>
      </c>
      <c r="J29" s="64" t="s">
        <v>67</v>
      </c>
    </row>
    <row r="30" spans="1:10" ht="19.5" customHeight="1" x14ac:dyDescent="0.25">
      <c r="A30" s="44">
        <v>18</v>
      </c>
      <c r="B30" s="7" t="s">
        <v>106</v>
      </c>
      <c r="C30" s="61">
        <v>0.79166666666666663</v>
      </c>
      <c r="D30" s="45" t="s">
        <v>107</v>
      </c>
      <c r="E30" s="79" t="s">
        <v>110</v>
      </c>
      <c r="F30" s="96"/>
      <c r="G30" s="11" t="s">
        <v>34</v>
      </c>
      <c r="H30" s="96"/>
      <c r="I30" s="80" t="s">
        <v>111</v>
      </c>
      <c r="J30" s="64" t="s">
        <v>64</v>
      </c>
    </row>
    <row r="31" spans="1:10" ht="19.5" customHeight="1" x14ac:dyDescent="0.25">
      <c r="A31" s="48">
        <v>19</v>
      </c>
      <c r="B31" s="7" t="s">
        <v>106</v>
      </c>
      <c r="C31" s="61">
        <v>0.91666666666666663</v>
      </c>
      <c r="D31" s="49" t="s">
        <v>112</v>
      </c>
      <c r="E31" s="81" t="s">
        <v>113</v>
      </c>
      <c r="F31" s="97"/>
      <c r="G31" s="11" t="s">
        <v>34</v>
      </c>
      <c r="H31" s="97"/>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c r="G33" s="11" t="s">
        <v>34</v>
      </c>
      <c r="H33" s="97"/>
      <c r="I33" s="82" t="s">
        <v>119</v>
      </c>
      <c r="J33" s="64" t="s">
        <v>70</v>
      </c>
    </row>
    <row r="34" spans="1:10" ht="19.5" customHeight="1" x14ac:dyDescent="0.25">
      <c r="A34" s="52">
        <v>21</v>
      </c>
      <c r="B34" s="7" t="s">
        <v>117</v>
      </c>
      <c r="C34" s="61">
        <v>0.58333333333333337</v>
      </c>
      <c r="D34" s="53" t="s">
        <v>120</v>
      </c>
      <c r="E34" s="83" t="s">
        <v>121</v>
      </c>
      <c r="F34" s="98"/>
      <c r="G34" s="11" t="s">
        <v>34</v>
      </c>
      <c r="H34" s="98"/>
      <c r="I34" s="84" t="s">
        <v>122</v>
      </c>
      <c r="J34" s="64" t="s">
        <v>79</v>
      </c>
    </row>
    <row r="35" spans="1:10" ht="19.5" customHeight="1" x14ac:dyDescent="0.25">
      <c r="A35" s="56">
        <v>22</v>
      </c>
      <c r="B35" s="7" t="s">
        <v>117</v>
      </c>
      <c r="C35" s="61">
        <v>0.70833333333333337</v>
      </c>
      <c r="D35" s="57" t="s">
        <v>123</v>
      </c>
      <c r="E35" s="85" t="s">
        <v>124</v>
      </c>
      <c r="F35" s="99"/>
      <c r="G35" s="11" t="s">
        <v>34</v>
      </c>
      <c r="H35" s="99"/>
      <c r="I35" s="86" t="s">
        <v>125</v>
      </c>
      <c r="J35" s="64" t="s">
        <v>83</v>
      </c>
    </row>
    <row r="36" spans="1:10" ht="19.5" customHeight="1" x14ac:dyDescent="0.25">
      <c r="A36" s="56">
        <v>23</v>
      </c>
      <c r="B36" s="7" t="s">
        <v>117</v>
      </c>
      <c r="C36" s="61">
        <v>0.83333333333333337</v>
      </c>
      <c r="D36" s="57" t="s">
        <v>123</v>
      </c>
      <c r="E36" s="85" t="s">
        <v>126</v>
      </c>
      <c r="F36" s="99"/>
      <c r="G36" s="11" t="s">
        <v>34</v>
      </c>
      <c r="H36" s="99"/>
      <c r="I36" s="86" t="s">
        <v>127</v>
      </c>
      <c r="J36" s="64" t="s">
        <v>54</v>
      </c>
    </row>
    <row r="37" spans="1:10" ht="19.5" customHeight="1" x14ac:dyDescent="0.25">
      <c r="A37" s="52">
        <v>24</v>
      </c>
      <c r="B37" s="7" t="s">
        <v>117</v>
      </c>
      <c r="C37" s="61">
        <v>0.95833333333333337</v>
      </c>
      <c r="D37" s="53" t="s">
        <v>120</v>
      </c>
      <c r="E37" s="83" t="s">
        <v>128</v>
      </c>
      <c r="F37" s="98"/>
      <c r="G37" s="11" t="s">
        <v>34</v>
      </c>
      <c r="H37" s="98"/>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c r="G39" s="11" t="s">
        <v>34</v>
      </c>
      <c r="H39" s="88"/>
      <c r="I39" s="63" t="s">
        <v>44</v>
      </c>
      <c r="J39" s="64" t="s">
        <v>95</v>
      </c>
    </row>
    <row r="40" spans="1:10" ht="19.5" customHeight="1" x14ac:dyDescent="0.25">
      <c r="A40" s="16">
        <v>26</v>
      </c>
      <c r="B40" s="7" t="s">
        <v>131</v>
      </c>
      <c r="C40" s="61">
        <v>0.66666666666666663</v>
      </c>
      <c r="D40" s="17" t="s">
        <v>51</v>
      </c>
      <c r="E40" s="65" t="s">
        <v>69</v>
      </c>
      <c r="F40" s="89"/>
      <c r="G40" s="11" t="s">
        <v>34</v>
      </c>
      <c r="H40" s="89"/>
      <c r="I40" s="66" t="s">
        <v>53</v>
      </c>
      <c r="J40" s="64" t="s">
        <v>58</v>
      </c>
    </row>
    <row r="41" spans="1:10" ht="19.5" customHeight="1" x14ac:dyDescent="0.25">
      <c r="A41" s="16">
        <v>27</v>
      </c>
      <c r="B41" s="7" t="s">
        <v>131</v>
      </c>
      <c r="C41" s="61">
        <v>0.79166666666666663</v>
      </c>
      <c r="D41" s="17" t="s">
        <v>51</v>
      </c>
      <c r="E41" s="65" t="s">
        <v>52</v>
      </c>
      <c r="F41" s="89"/>
      <c r="G41" s="11" t="s">
        <v>34</v>
      </c>
      <c r="H41" s="89"/>
      <c r="I41" s="66" t="s">
        <v>68</v>
      </c>
      <c r="J41" s="64" t="s">
        <v>75</v>
      </c>
    </row>
    <row r="42" spans="1:10" ht="19.5" customHeight="1" x14ac:dyDescent="0.25">
      <c r="A42" s="6">
        <v>28</v>
      </c>
      <c r="B42" s="7" t="s">
        <v>131</v>
      </c>
      <c r="C42" s="61">
        <v>0.91666666666666663</v>
      </c>
      <c r="D42" s="8" t="s">
        <v>42</v>
      </c>
      <c r="E42" s="62" t="s">
        <v>43</v>
      </c>
      <c r="F42" s="88"/>
      <c r="G42" s="11" t="s">
        <v>34</v>
      </c>
      <c r="H42" s="88"/>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c r="G44" s="11" t="s">
        <v>34</v>
      </c>
      <c r="H44" s="90"/>
      <c r="I44" s="68" t="s">
        <v>73</v>
      </c>
      <c r="J44" s="64" t="s">
        <v>99</v>
      </c>
    </row>
    <row r="45" spans="1:10" ht="19.5" customHeight="1" x14ac:dyDescent="0.25">
      <c r="A45" s="24">
        <v>30</v>
      </c>
      <c r="B45" s="7" t="s">
        <v>133</v>
      </c>
      <c r="C45" s="61">
        <v>0.79166666666666663</v>
      </c>
      <c r="D45" s="25" t="s">
        <v>61</v>
      </c>
      <c r="E45" s="69" t="s">
        <v>63</v>
      </c>
      <c r="F45" s="91"/>
      <c r="G45" s="11" t="s">
        <v>34</v>
      </c>
      <c r="H45" s="91"/>
      <c r="I45" s="70" t="s">
        <v>66</v>
      </c>
      <c r="J45" s="64" t="s">
        <v>64</v>
      </c>
    </row>
    <row r="46" spans="1:10" ht="19.5" customHeight="1" x14ac:dyDescent="0.25">
      <c r="A46" s="24">
        <v>31</v>
      </c>
      <c r="B46" s="7" t="s">
        <v>133</v>
      </c>
      <c r="C46" s="61">
        <v>0.89583333333333337</v>
      </c>
      <c r="D46" s="25" t="s">
        <v>61</v>
      </c>
      <c r="E46" s="69" t="s">
        <v>65</v>
      </c>
      <c r="F46" s="91"/>
      <c r="G46" s="11" t="s">
        <v>34</v>
      </c>
      <c r="H46" s="91"/>
      <c r="I46" s="70" t="s">
        <v>62</v>
      </c>
      <c r="J46" s="64" t="s">
        <v>86</v>
      </c>
    </row>
    <row r="47" spans="1:10" ht="19.5" customHeight="1" x14ac:dyDescent="0.25">
      <c r="A47" s="20">
        <v>32</v>
      </c>
      <c r="B47" s="7" t="s">
        <v>133</v>
      </c>
      <c r="C47" s="61">
        <v>0.99930555555555556</v>
      </c>
      <c r="D47" s="21" t="s">
        <v>55</v>
      </c>
      <c r="E47" s="67" t="s">
        <v>74</v>
      </c>
      <c r="F47" s="90"/>
      <c r="G47" s="11" t="s">
        <v>34</v>
      </c>
      <c r="H47" s="90"/>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c r="G49" s="11" t="s">
        <v>34</v>
      </c>
      <c r="H49" s="93"/>
      <c r="I49" s="74" t="s">
        <v>87</v>
      </c>
      <c r="J49" s="64" t="s">
        <v>79</v>
      </c>
    </row>
    <row r="50" spans="1:10" ht="19.5" customHeight="1" x14ac:dyDescent="0.25">
      <c r="A50" s="28">
        <v>34</v>
      </c>
      <c r="B50" s="7" t="s">
        <v>135</v>
      </c>
      <c r="C50" s="61">
        <v>0.70833333333333337</v>
      </c>
      <c r="D50" s="29" t="s">
        <v>76</v>
      </c>
      <c r="E50" s="71" t="s">
        <v>77</v>
      </c>
      <c r="F50" s="92"/>
      <c r="G50" s="11" t="s">
        <v>34</v>
      </c>
      <c r="H50" s="92"/>
      <c r="I50" s="72" t="s">
        <v>84</v>
      </c>
      <c r="J50" s="64" t="s">
        <v>54</v>
      </c>
    </row>
    <row r="51" spans="1:10" ht="19.5" customHeight="1" x14ac:dyDescent="0.25">
      <c r="A51" s="28">
        <v>35</v>
      </c>
      <c r="B51" s="7" t="s">
        <v>135</v>
      </c>
      <c r="C51" s="61">
        <v>0.875</v>
      </c>
      <c r="D51" s="29" t="s">
        <v>76</v>
      </c>
      <c r="E51" s="71" t="s">
        <v>85</v>
      </c>
      <c r="F51" s="92"/>
      <c r="G51" s="11" t="s">
        <v>34</v>
      </c>
      <c r="H51" s="92"/>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c r="G53" s="11" t="s">
        <v>34</v>
      </c>
      <c r="H53" s="93"/>
      <c r="I53" s="74" t="s">
        <v>82</v>
      </c>
      <c r="J53" s="64" t="s">
        <v>89</v>
      </c>
    </row>
    <row r="54" spans="1:10" ht="19.5" customHeight="1" x14ac:dyDescent="0.25">
      <c r="A54" s="36">
        <v>37</v>
      </c>
      <c r="B54" s="7" t="s">
        <v>137</v>
      </c>
      <c r="C54" s="61">
        <v>0.54166666666666663</v>
      </c>
      <c r="D54" s="37" t="s">
        <v>92</v>
      </c>
      <c r="E54" s="75" t="s">
        <v>93</v>
      </c>
      <c r="F54" s="94"/>
      <c r="G54" s="11" t="s">
        <v>34</v>
      </c>
      <c r="H54" s="94"/>
      <c r="I54" s="76" t="s">
        <v>100</v>
      </c>
      <c r="J54" s="64" t="s">
        <v>95</v>
      </c>
    </row>
    <row r="55" spans="1:10" ht="19.5" customHeight="1" x14ac:dyDescent="0.25">
      <c r="A55" s="40">
        <v>38</v>
      </c>
      <c r="B55" s="7" t="s">
        <v>137</v>
      </c>
      <c r="C55" s="61">
        <v>0.66666666666666663</v>
      </c>
      <c r="D55" s="41" t="s">
        <v>96</v>
      </c>
      <c r="E55" s="77" t="s">
        <v>97</v>
      </c>
      <c r="F55" s="95"/>
      <c r="G55" s="11" t="s">
        <v>34</v>
      </c>
      <c r="H55" s="95"/>
      <c r="I55" s="78" t="s">
        <v>103</v>
      </c>
      <c r="J55" s="64" t="s">
        <v>58</v>
      </c>
    </row>
    <row r="56" spans="1:10" ht="19.5" customHeight="1" x14ac:dyDescent="0.25">
      <c r="A56" s="36">
        <v>39</v>
      </c>
      <c r="B56" s="7" t="s">
        <v>137</v>
      </c>
      <c r="C56" s="61">
        <v>0.79166666666666663</v>
      </c>
      <c r="D56" s="37" t="s">
        <v>92</v>
      </c>
      <c r="E56" s="75" t="s">
        <v>101</v>
      </c>
      <c r="F56" s="94"/>
      <c r="G56" s="11" t="s">
        <v>34</v>
      </c>
      <c r="H56" s="94"/>
      <c r="I56" s="76" t="s">
        <v>94</v>
      </c>
      <c r="J56" s="64" t="s">
        <v>102</v>
      </c>
    </row>
    <row r="57" spans="1:10" ht="19.5" customHeight="1" x14ac:dyDescent="0.25">
      <c r="A57" s="40">
        <v>40</v>
      </c>
      <c r="B57" s="7" t="s">
        <v>137</v>
      </c>
      <c r="C57" s="61">
        <v>0.91666666666666663</v>
      </c>
      <c r="D57" s="41" t="s">
        <v>96</v>
      </c>
      <c r="E57" s="77" t="s">
        <v>104</v>
      </c>
      <c r="F57" s="95"/>
      <c r="G57" s="11" t="s">
        <v>34</v>
      </c>
      <c r="H57" s="95"/>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c r="G59" s="11" t="s">
        <v>34</v>
      </c>
      <c r="H59" s="97"/>
      <c r="I59" s="82" t="s">
        <v>118</v>
      </c>
      <c r="J59" s="64" t="s">
        <v>83</v>
      </c>
    </row>
    <row r="60" spans="1:10" ht="19.5" customHeight="1" x14ac:dyDescent="0.25">
      <c r="A60" s="44">
        <v>42</v>
      </c>
      <c r="B60" s="7" t="s">
        <v>139</v>
      </c>
      <c r="C60" s="61">
        <v>0.75</v>
      </c>
      <c r="D60" s="45" t="s">
        <v>107</v>
      </c>
      <c r="E60" s="79" t="s">
        <v>108</v>
      </c>
      <c r="F60" s="96"/>
      <c r="G60" s="11" t="s">
        <v>34</v>
      </c>
      <c r="H60" s="96"/>
      <c r="I60" s="80" t="s">
        <v>110</v>
      </c>
      <c r="J60" s="64" t="s">
        <v>86</v>
      </c>
    </row>
    <row r="61" spans="1:10" ht="19.5" customHeight="1" x14ac:dyDescent="0.25">
      <c r="A61" s="44">
        <v>43</v>
      </c>
      <c r="B61" s="7" t="s">
        <v>139</v>
      </c>
      <c r="C61" s="61">
        <v>0.875</v>
      </c>
      <c r="D61" s="45" t="s">
        <v>107</v>
      </c>
      <c r="E61" s="79" t="s">
        <v>111</v>
      </c>
      <c r="F61" s="96"/>
      <c r="G61" s="11" t="s">
        <v>34</v>
      </c>
      <c r="H61" s="96"/>
      <c r="I61" s="80" t="s">
        <v>109</v>
      </c>
      <c r="J61" s="64" t="s">
        <v>67</v>
      </c>
    </row>
    <row r="62" spans="1:10" ht="19.5" customHeight="1" x14ac:dyDescent="0.25">
      <c r="A62" s="48">
        <v>44</v>
      </c>
      <c r="B62" s="7" t="s">
        <v>139</v>
      </c>
      <c r="C62" s="61">
        <v>0.99930555555555556</v>
      </c>
      <c r="D62" s="49" t="s">
        <v>112</v>
      </c>
      <c r="E62" s="81" t="s">
        <v>119</v>
      </c>
      <c r="F62" s="97"/>
      <c r="G62" s="11" t="s">
        <v>34</v>
      </c>
      <c r="H62" s="97"/>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c r="G64" s="11" t="s">
        <v>34</v>
      </c>
      <c r="H64" s="98"/>
      <c r="I64" s="84" t="s">
        <v>128</v>
      </c>
      <c r="J64" s="64" t="s">
        <v>79</v>
      </c>
    </row>
    <row r="65" spans="1:10" ht="19.5" customHeight="1" x14ac:dyDescent="0.25">
      <c r="A65" s="56">
        <v>46</v>
      </c>
      <c r="B65" s="7" t="s">
        <v>141</v>
      </c>
      <c r="C65" s="61">
        <v>0.70833333333333337</v>
      </c>
      <c r="D65" s="57" t="s">
        <v>123</v>
      </c>
      <c r="E65" s="85" t="s">
        <v>124</v>
      </c>
      <c r="F65" s="99"/>
      <c r="G65" s="11" t="s">
        <v>34</v>
      </c>
      <c r="H65" s="99"/>
      <c r="I65" s="86" t="s">
        <v>126</v>
      </c>
      <c r="J65" s="64" t="s">
        <v>64</v>
      </c>
    </row>
    <row r="66" spans="1:10" ht="19.5" customHeight="1" x14ac:dyDescent="0.25">
      <c r="A66" s="56">
        <v>47</v>
      </c>
      <c r="B66" s="7" t="s">
        <v>141</v>
      </c>
      <c r="C66" s="61">
        <v>0.83333333333333337</v>
      </c>
      <c r="D66" s="57" t="s">
        <v>123</v>
      </c>
      <c r="E66" s="85" t="s">
        <v>127</v>
      </c>
      <c r="F66" s="99"/>
      <c r="G66" s="11" t="s">
        <v>34</v>
      </c>
      <c r="H66" s="99"/>
      <c r="I66" s="86" t="s">
        <v>125</v>
      </c>
      <c r="J66" s="64" t="s">
        <v>54</v>
      </c>
    </row>
    <row r="67" spans="1:10" ht="19.5" customHeight="1" x14ac:dyDescent="0.25">
      <c r="A67" s="52">
        <v>48</v>
      </c>
      <c r="B67" s="7" t="s">
        <v>141</v>
      </c>
      <c r="C67" s="61">
        <v>0.95833333333333337</v>
      </c>
      <c r="D67" s="53" t="s">
        <v>120</v>
      </c>
      <c r="E67" s="83" t="s">
        <v>129</v>
      </c>
      <c r="F67" s="98"/>
      <c r="G67" s="11" t="s">
        <v>34</v>
      </c>
      <c r="H67" s="98"/>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c r="G69" s="11" t="s">
        <v>34</v>
      </c>
      <c r="H69" s="89"/>
      <c r="I69" s="66" t="s">
        <v>52</v>
      </c>
      <c r="J69" s="64" t="s">
        <v>75</v>
      </c>
    </row>
    <row r="70" spans="1:10" ht="19.5" customHeight="1" x14ac:dyDescent="0.25">
      <c r="A70" s="16">
        <v>50</v>
      </c>
      <c r="B70" s="7" t="s">
        <v>143</v>
      </c>
      <c r="C70" s="61">
        <v>0.66666666666666663</v>
      </c>
      <c r="D70" s="17" t="s">
        <v>51</v>
      </c>
      <c r="E70" s="65" t="s">
        <v>53</v>
      </c>
      <c r="F70" s="89"/>
      <c r="G70" s="11" t="s">
        <v>34</v>
      </c>
      <c r="H70" s="89"/>
      <c r="I70" s="66" t="s">
        <v>68</v>
      </c>
      <c r="J70" s="64" t="s">
        <v>99</v>
      </c>
    </row>
    <row r="71" spans="1:10" ht="19.5" customHeight="1" x14ac:dyDescent="0.25">
      <c r="A71" s="24">
        <v>51</v>
      </c>
      <c r="B71" s="7" t="s">
        <v>143</v>
      </c>
      <c r="C71" s="61">
        <v>0.79166666666666663</v>
      </c>
      <c r="D71" s="25" t="s">
        <v>61</v>
      </c>
      <c r="E71" s="69" t="s">
        <v>63</v>
      </c>
      <c r="F71" s="91"/>
      <c r="G71" s="11" t="s">
        <v>34</v>
      </c>
      <c r="H71" s="91"/>
      <c r="I71" s="70" t="s">
        <v>65</v>
      </c>
      <c r="J71" s="64" t="s">
        <v>102</v>
      </c>
    </row>
    <row r="72" spans="1:10" ht="19.5" customHeight="1" x14ac:dyDescent="0.25">
      <c r="A72" s="24">
        <v>52</v>
      </c>
      <c r="B72" s="7" t="s">
        <v>143</v>
      </c>
      <c r="C72" s="61">
        <v>0.79166666666666663</v>
      </c>
      <c r="D72" s="25" t="s">
        <v>61</v>
      </c>
      <c r="E72" s="69" t="s">
        <v>66</v>
      </c>
      <c r="F72" s="91"/>
      <c r="G72" s="11" t="s">
        <v>34</v>
      </c>
      <c r="H72" s="91"/>
      <c r="I72" s="70" t="s">
        <v>62</v>
      </c>
      <c r="J72" s="64" t="s">
        <v>95</v>
      </c>
    </row>
    <row r="73" spans="1:10" ht="19.5" customHeight="1" x14ac:dyDescent="0.25">
      <c r="A73" s="6">
        <v>53</v>
      </c>
      <c r="B73" s="7" t="s">
        <v>143</v>
      </c>
      <c r="C73" s="61">
        <v>0.91666666666666663</v>
      </c>
      <c r="D73" s="8" t="s">
        <v>42</v>
      </c>
      <c r="E73" s="62" t="s">
        <v>47</v>
      </c>
      <c r="F73" s="88"/>
      <c r="G73" s="11" t="s">
        <v>34</v>
      </c>
      <c r="H73" s="88"/>
      <c r="I73" s="63" t="s">
        <v>43</v>
      </c>
      <c r="J73" s="64" t="s">
        <v>45</v>
      </c>
    </row>
    <row r="74" spans="1:10" ht="19.5" customHeight="1" x14ac:dyDescent="0.25">
      <c r="A74" s="6">
        <v>54</v>
      </c>
      <c r="B74" s="7" t="s">
        <v>143</v>
      </c>
      <c r="C74" s="61">
        <v>0.91666666666666663</v>
      </c>
      <c r="D74" s="8" t="s">
        <v>42</v>
      </c>
      <c r="E74" s="62" t="s">
        <v>44</v>
      </c>
      <c r="F74" s="88"/>
      <c r="G74" s="11" t="s">
        <v>34</v>
      </c>
      <c r="H74" s="88"/>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c r="G76" s="11" t="s">
        <v>34</v>
      </c>
      <c r="H76" s="92"/>
      <c r="I76" s="72" t="s">
        <v>84</v>
      </c>
      <c r="J76" s="64" t="s">
        <v>86</v>
      </c>
    </row>
    <row r="77" spans="1:10" ht="19.5" customHeight="1" x14ac:dyDescent="0.25">
      <c r="A77" s="28">
        <v>56</v>
      </c>
      <c r="B77" s="7" t="s">
        <v>145</v>
      </c>
      <c r="C77" s="61">
        <v>0.70833333333333337</v>
      </c>
      <c r="D77" s="29" t="s">
        <v>76</v>
      </c>
      <c r="E77" s="71" t="s">
        <v>85</v>
      </c>
      <c r="F77" s="92"/>
      <c r="G77" s="11" t="s">
        <v>34</v>
      </c>
      <c r="H77" s="92"/>
      <c r="I77" s="72" t="s">
        <v>77</v>
      </c>
      <c r="J77" s="64" t="s">
        <v>67</v>
      </c>
    </row>
    <row r="78" spans="1:10" ht="19.5" customHeight="1" x14ac:dyDescent="0.25">
      <c r="A78" s="32">
        <v>57</v>
      </c>
      <c r="B78" s="7" t="s">
        <v>145</v>
      </c>
      <c r="C78" s="61">
        <v>0.83333333333333337</v>
      </c>
      <c r="D78" s="33" t="s">
        <v>80</v>
      </c>
      <c r="E78" s="73" t="s">
        <v>82</v>
      </c>
      <c r="F78" s="93"/>
      <c r="G78" s="11" t="s">
        <v>34</v>
      </c>
      <c r="H78" s="93"/>
      <c r="I78" s="74" t="s">
        <v>87</v>
      </c>
      <c r="J78" s="64" t="s">
        <v>83</v>
      </c>
    </row>
    <row r="79" spans="1:10" ht="19.5" customHeight="1" x14ac:dyDescent="0.25">
      <c r="A79" s="32">
        <v>58</v>
      </c>
      <c r="B79" s="7" t="s">
        <v>145</v>
      </c>
      <c r="C79" s="61">
        <v>0.83333333333333337</v>
      </c>
      <c r="D79" s="33" t="s">
        <v>80</v>
      </c>
      <c r="E79" s="73" t="s">
        <v>88</v>
      </c>
      <c r="F79" s="93"/>
      <c r="G79" s="11" t="s">
        <v>34</v>
      </c>
      <c r="H79" s="93"/>
      <c r="I79" s="74" t="s">
        <v>81</v>
      </c>
      <c r="J79" s="64" t="s">
        <v>115</v>
      </c>
    </row>
    <row r="80" spans="1:10" ht="19.5" customHeight="1" x14ac:dyDescent="0.25">
      <c r="A80" s="20">
        <v>59</v>
      </c>
      <c r="B80" s="7" t="s">
        <v>145</v>
      </c>
      <c r="C80" s="61">
        <v>0.95833333333333337</v>
      </c>
      <c r="D80" s="21" t="s">
        <v>55</v>
      </c>
      <c r="E80" s="67" t="s">
        <v>74</v>
      </c>
      <c r="F80" s="90"/>
      <c r="G80" s="11" t="s">
        <v>34</v>
      </c>
      <c r="H80" s="90"/>
      <c r="I80" s="68" t="s">
        <v>56</v>
      </c>
      <c r="J80" s="64" t="s">
        <v>58</v>
      </c>
    </row>
    <row r="81" spans="1:10" ht="19.5" customHeight="1" x14ac:dyDescent="0.25">
      <c r="A81" s="20">
        <v>60</v>
      </c>
      <c r="B81" s="7" t="s">
        <v>145</v>
      </c>
      <c r="C81" s="61">
        <v>0.95833333333333337</v>
      </c>
      <c r="D81" s="21" t="s">
        <v>55</v>
      </c>
      <c r="E81" s="67" t="s">
        <v>57</v>
      </c>
      <c r="F81" s="90"/>
      <c r="G81" s="11" t="s">
        <v>34</v>
      </c>
      <c r="H81" s="90"/>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c r="G83" s="11" t="s">
        <v>34</v>
      </c>
      <c r="H83" s="96"/>
      <c r="I83" s="80" t="s">
        <v>108</v>
      </c>
      <c r="J83" s="64" t="s">
        <v>64</v>
      </c>
    </row>
    <row r="84" spans="1:10" ht="19.5" customHeight="1" x14ac:dyDescent="0.25">
      <c r="A84" s="44">
        <v>62</v>
      </c>
      <c r="B84" s="7" t="s">
        <v>147</v>
      </c>
      <c r="C84" s="61">
        <v>0.66666666666666663</v>
      </c>
      <c r="D84" s="45" t="s">
        <v>107</v>
      </c>
      <c r="E84" s="79" t="s">
        <v>109</v>
      </c>
      <c r="F84" s="96"/>
      <c r="G84" s="11" t="s">
        <v>34</v>
      </c>
      <c r="H84" s="96"/>
      <c r="I84" s="80" t="s">
        <v>110</v>
      </c>
      <c r="J84" s="64" t="s">
        <v>54</v>
      </c>
    </row>
    <row r="85" spans="1:10" ht="19.5" customHeight="1" x14ac:dyDescent="0.25">
      <c r="A85" s="36">
        <v>63</v>
      </c>
      <c r="B85" s="7" t="s">
        <v>147</v>
      </c>
      <c r="C85" s="61">
        <v>0.875</v>
      </c>
      <c r="D85" s="37" t="s">
        <v>92</v>
      </c>
      <c r="E85" s="75" t="s">
        <v>94</v>
      </c>
      <c r="F85" s="94"/>
      <c r="G85" s="11" t="s">
        <v>34</v>
      </c>
      <c r="H85" s="94"/>
      <c r="I85" s="76" t="s">
        <v>100</v>
      </c>
      <c r="J85" s="64" t="s">
        <v>79</v>
      </c>
    </row>
    <row r="86" spans="1:10" ht="19.5" customHeight="1" x14ac:dyDescent="0.25">
      <c r="A86" s="36">
        <v>64</v>
      </c>
      <c r="B86" s="7" t="s">
        <v>147</v>
      </c>
      <c r="C86" s="61">
        <v>0.875</v>
      </c>
      <c r="D86" s="37" t="s">
        <v>92</v>
      </c>
      <c r="E86" s="75" t="s">
        <v>101</v>
      </c>
      <c r="F86" s="94"/>
      <c r="G86" s="11" t="s">
        <v>34</v>
      </c>
      <c r="H86" s="94"/>
      <c r="I86" s="76" t="s">
        <v>93</v>
      </c>
      <c r="J86" s="64" t="s">
        <v>48</v>
      </c>
    </row>
    <row r="87" spans="1:10" ht="19.5" customHeight="1" x14ac:dyDescent="0.25">
      <c r="A87" s="40">
        <v>65</v>
      </c>
      <c r="B87" s="7" t="s">
        <v>147</v>
      </c>
      <c r="C87" s="61">
        <v>0.99930555555555556</v>
      </c>
      <c r="D87" s="41" t="s">
        <v>96</v>
      </c>
      <c r="E87" s="77" t="s">
        <v>98</v>
      </c>
      <c r="F87" s="95"/>
      <c r="G87" s="11" t="s">
        <v>34</v>
      </c>
      <c r="H87" s="95"/>
      <c r="I87" s="78" t="s">
        <v>103</v>
      </c>
      <c r="J87" s="64" t="s">
        <v>99</v>
      </c>
    </row>
    <row r="88" spans="1:10" ht="19.5" customHeight="1" x14ac:dyDescent="0.25">
      <c r="A88" s="40">
        <v>66</v>
      </c>
      <c r="B88" s="7" t="s">
        <v>147</v>
      </c>
      <c r="C88" s="61">
        <v>0.99930555555555556</v>
      </c>
      <c r="D88" s="41" t="s">
        <v>96</v>
      </c>
      <c r="E88" s="77" t="s">
        <v>104</v>
      </c>
      <c r="F88" s="95"/>
      <c r="G88" s="11" t="s">
        <v>34</v>
      </c>
      <c r="H88" s="95"/>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c r="G90" s="11" t="s">
        <v>34</v>
      </c>
      <c r="H90" s="99"/>
      <c r="I90" s="86" t="s">
        <v>124</v>
      </c>
      <c r="J90" s="64" t="s">
        <v>67</v>
      </c>
    </row>
    <row r="91" spans="1:10" ht="19.5" customHeight="1" x14ac:dyDescent="0.25">
      <c r="A91" s="56">
        <v>68</v>
      </c>
      <c r="B91" s="7" t="s">
        <v>149</v>
      </c>
      <c r="C91" s="61">
        <v>0.75</v>
      </c>
      <c r="D91" s="57" t="s">
        <v>123</v>
      </c>
      <c r="E91" s="85" t="s">
        <v>125</v>
      </c>
      <c r="F91" s="99"/>
      <c r="G91" s="11" t="s">
        <v>34</v>
      </c>
      <c r="H91" s="99"/>
      <c r="I91" s="86" t="s">
        <v>126</v>
      </c>
      <c r="J91" s="64" t="s">
        <v>86</v>
      </c>
    </row>
    <row r="92" spans="1:10" ht="19.5" customHeight="1" x14ac:dyDescent="0.25">
      <c r="A92" s="52">
        <v>69</v>
      </c>
      <c r="B92" s="7" t="s">
        <v>149</v>
      </c>
      <c r="C92" s="61">
        <v>0.85416666666666663</v>
      </c>
      <c r="D92" s="53" t="s">
        <v>120</v>
      </c>
      <c r="E92" s="83" t="s">
        <v>129</v>
      </c>
      <c r="F92" s="98"/>
      <c r="G92" s="11" t="s">
        <v>34</v>
      </c>
      <c r="H92" s="98"/>
      <c r="I92" s="84" t="s">
        <v>121</v>
      </c>
      <c r="J92" s="64" t="s">
        <v>102</v>
      </c>
    </row>
    <row r="93" spans="1:10" ht="19.5" customHeight="1" x14ac:dyDescent="0.25">
      <c r="A93" s="52">
        <v>70</v>
      </c>
      <c r="B93" s="7" t="s">
        <v>149</v>
      </c>
      <c r="C93" s="61">
        <v>0.85416666666666663</v>
      </c>
      <c r="D93" s="53" t="s">
        <v>120</v>
      </c>
      <c r="E93" s="83" t="s">
        <v>122</v>
      </c>
      <c r="F93" s="98"/>
      <c r="G93" s="11" t="s">
        <v>34</v>
      </c>
      <c r="H93" s="98"/>
      <c r="I93" s="84" t="s">
        <v>128</v>
      </c>
      <c r="J93" s="64" t="s">
        <v>95</v>
      </c>
    </row>
    <row r="94" spans="1:10" ht="19.5" customHeight="1" x14ac:dyDescent="0.25">
      <c r="A94" s="48">
        <v>71</v>
      </c>
      <c r="B94" s="7" t="s">
        <v>149</v>
      </c>
      <c r="C94" s="61">
        <v>0.95833333333333337</v>
      </c>
      <c r="D94" s="49" t="s">
        <v>112</v>
      </c>
      <c r="E94" s="81" t="s">
        <v>114</v>
      </c>
      <c r="F94" s="97"/>
      <c r="G94" s="11" t="s">
        <v>34</v>
      </c>
      <c r="H94" s="97"/>
      <c r="I94" s="82" t="s">
        <v>118</v>
      </c>
      <c r="J94" s="64" t="s">
        <v>115</v>
      </c>
    </row>
    <row r="95" spans="1:10" ht="19.5" customHeight="1" x14ac:dyDescent="0.25">
      <c r="A95" s="48">
        <v>72</v>
      </c>
      <c r="B95" s="7" t="s">
        <v>149</v>
      </c>
      <c r="C95" s="61">
        <v>0.95833333333333337</v>
      </c>
      <c r="D95" s="49" t="s">
        <v>112</v>
      </c>
      <c r="E95" s="81" t="s">
        <v>119</v>
      </c>
      <c r="F95" s="97"/>
      <c r="G95" s="11" t="s">
        <v>34</v>
      </c>
      <c r="H95" s="97"/>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31"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30"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6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J1000"/>
  <sheetViews>
    <sheetView topLeftCell="A46" zoomScale="60" zoomScaleNormal="60" workbookViewId="0">
      <selection activeCell="H39" sqref="H39"/>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21</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1</v>
      </c>
      <c r="G8" s="11" t="s">
        <v>34</v>
      </c>
      <c r="H8" s="88">
        <v>1</v>
      </c>
      <c r="I8" s="63" t="s">
        <v>44</v>
      </c>
      <c r="J8" s="64" t="s">
        <v>45</v>
      </c>
    </row>
    <row r="9" spans="1:10" ht="19.5" customHeight="1" x14ac:dyDescent="0.25">
      <c r="A9" s="6">
        <v>2</v>
      </c>
      <c r="B9" s="7" t="s">
        <v>41</v>
      </c>
      <c r="C9" s="61">
        <v>0.95833333333333337</v>
      </c>
      <c r="D9" s="8" t="s">
        <v>42</v>
      </c>
      <c r="E9" s="62" t="s">
        <v>46</v>
      </c>
      <c r="F9" s="88">
        <v>2</v>
      </c>
      <c r="G9" s="11" t="s">
        <v>34</v>
      </c>
      <c r="H9" s="88">
        <v>1</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2</v>
      </c>
      <c r="G11" s="11" t="s">
        <v>34</v>
      </c>
      <c r="H11" s="89">
        <v>1</v>
      </c>
      <c r="I11" s="66" t="s">
        <v>53</v>
      </c>
      <c r="J11" s="64" t="s">
        <v>54</v>
      </c>
    </row>
    <row r="12" spans="1:10" ht="19.5" customHeight="1" x14ac:dyDescent="0.25">
      <c r="A12" s="20">
        <v>4</v>
      </c>
      <c r="B12" s="7" t="s">
        <v>50</v>
      </c>
      <c r="C12" s="61">
        <v>0.66666666666666663</v>
      </c>
      <c r="D12" s="21" t="s">
        <v>55</v>
      </c>
      <c r="E12" s="67" t="s">
        <v>56</v>
      </c>
      <c r="F12" s="90">
        <v>1</v>
      </c>
      <c r="G12" s="11" t="s">
        <v>34</v>
      </c>
      <c r="H12" s="90">
        <v>3</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2</v>
      </c>
      <c r="G14" s="11" t="s">
        <v>34</v>
      </c>
      <c r="H14" s="91">
        <v>2</v>
      </c>
      <c r="I14" s="70" t="s">
        <v>63</v>
      </c>
      <c r="J14" s="64" t="s">
        <v>64</v>
      </c>
    </row>
    <row r="15" spans="1:10" ht="19.5" customHeight="1" x14ac:dyDescent="0.25">
      <c r="A15" s="24">
        <v>6</v>
      </c>
      <c r="B15" s="7" t="s">
        <v>60</v>
      </c>
      <c r="C15" s="61">
        <v>0.79166666666666663</v>
      </c>
      <c r="D15" s="25" t="s">
        <v>61</v>
      </c>
      <c r="E15" s="69" t="s">
        <v>65</v>
      </c>
      <c r="F15" s="91">
        <v>3</v>
      </c>
      <c r="G15" s="11" t="s">
        <v>34</v>
      </c>
      <c r="H15" s="91">
        <v>0</v>
      </c>
      <c r="I15" s="70" t="s">
        <v>66</v>
      </c>
      <c r="J15" s="64" t="s">
        <v>67</v>
      </c>
    </row>
    <row r="16" spans="1:10" ht="19.5" customHeight="1" x14ac:dyDescent="0.25">
      <c r="A16" s="16">
        <v>7</v>
      </c>
      <c r="B16" s="7" t="s">
        <v>60</v>
      </c>
      <c r="C16" s="61">
        <v>0.66666666666666663</v>
      </c>
      <c r="D16" s="17" t="s">
        <v>51</v>
      </c>
      <c r="E16" s="65" t="s">
        <v>68</v>
      </c>
      <c r="F16" s="89">
        <v>1</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2</v>
      </c>
      <c r="G18" s="11" t="s">
        <v>34</v>
      </c>
      <c r="H18" s="90">
        <v>1</v>
      </c>
      <c r="I18" s="68" t="s">
        <v>74</v>
      </c>
      <c r="J18" s="64" t="s">
        <v>75</v>
      </c>
    </row>
    <row r="19" spans="1:10" ht="19.5" customHeight="1" x14ac:dyDescent="0.25">
      <c r="A19" s="28">
        <v>9</v>
      </c>
      <c r="B19" s="7" t="s">
        <v>72</v>
      </c>
      <c r="C19" s="61">
        <v>0.58333333333333337</v>
      </c>
      <c r="D19" s="29" t="s">
        <v>76</v>
      </c>
      <c r="E19" s="71" t="s">
        <v>77</v>
      </c>
      <c r="F19" s="92">
        <v>4</v>
      </c>
      <c r="G19" s="11" t="s">
        <v>34</v>
      </c>
      <c r="H19" s="92">
        <v>0</v>
      </c>
      <c r="I19" s="72" t="s">
        <v>78</v>
      </c>
      <c r="J19" s="64" t="s">
        <v>79</v>
      </c>
    </row>
    <row r="20" spans="1:10" ht="19.5" customHeight="1" x14ac:dyDescent="0.25">
      <c r="A20" s="32">
        <v>10</v>
      </c>
      <c r="B20" s="7" t="s">
        <v>72</v>
      </c>
      <c r="C20" s="61">
        <v>0.70833333333333337</v>
      </c>
      <c r="D20" s="33" t="s">
        <v>80</v>
      </c>
      <c r="E20" s="73" t="s">
        <v>81</v>
      </c>
      <c r="F20" s="93">
        <v>2</v>
      </c>
      <c r="G20" s="11" t="s">
        <v>34</v>
      </c>
      <c r="H20" s="93">
        <v>2</v>
      </c>
      <c r="I20" s="74" t="s">
        <v>82</v>
      </c>
      <c r="J20" s="64" t="s">
        <v>83</v>
      </c>
    </row>
    <row r="21" spans="1:10" ht="19.5" customHeight="1" x14ac:dyDescent="0.25">
      <c r="A21" s="28">
        <v>11</v>
      </c>
      <c r="B21" s="7" t="s">
        <v>72</v>
      </c>
      <c r="C21" s="61">
        <v>0.83333333333333337</v>
      </c>
      <c r="D21" s="29" t="s">
        <v>76</v>
      </c>
      <c r="E21" s="71" t="s">
        <v>84</v>
      </c>
      <c r="F21" s="92">
        <v>1</v>
      </c>
      <c r="G21" s="11" t="s">
        <v>34</v>
      </c>
      <c r="H21" s="92">
        <v>2</v>
      </c>
      <c r="I21" s="72" t="s">
        <v>85</v>
      </c>
      <c r="J21" s="64" t="s">
        <v>86</v>
      </c>
    </row>
    <row r="22" spans="1:10" ht="19.5" customHeight="1" x14ac:dyDescent="0.25">
      <c r="A22" s="32">
        <v>12</v>
      </c>
      <c r="B22" s="7" t="s">
        <v>72</v>
      </c>
      <c r="C22" s="61">
        <v>0.95833333333333337</v>
      </c>
      <c r="D22" s="33" t="s">
        <v>80</v>
      </c>
      <c r="E22" s="73" t="s">
        <v>87</v>
      </c>
      <c r="F22" s="93">
        <v>2</v>
      </c>
      <c r="G22" s="11" t="s">
        <v>34</v>
      </c>
      <c r="H22" s="93">
        <v>1</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3</v>
      </c>
      <c r="G24" s="11" t="s">
        <v>34</v>
      </c>
      <c r="H24" s="94">
        <v>0</v>
      </c>
      <c r="I24" s="76" t="s">
        <v>94</v>
      </c>
      <c r="J24" s="64" t="s">
        <v>95</v>
      </c>
    </row>
    <row r="25" spans="1:10" ht="19.5" customHeight="1" x14ac:dyDescent="0.25">
      <c r="A25" s="40">
        <v>14</v>
      </c>
      <c r="B25" s="7" t="s">
        <v>91</v>
      </c>
      <c r="C25" s="61">
        <v>0.66666666666666663</v>
      </c>
      <c r="D25" s="41" t="s">
        <v>96</v>
      </c>
      <c r="E25" s="77" t="s">
        <v>97</v>
      </c>
      <c r="F25" s="95">
        <v>1</v>
      </c>
      <c r="G25" s="11" t="s">
        <v>34</v>
      </c>
      <c r="H25" s="95">
        <v>2</v>
      </c>
      <c r="I25" s="78" t="s">
        <v>98</v>
      </c>
      <c r="J25" s="64" t="s">
        <v>99</v>
      </c>
    </row>
    <row r="26" spans="1:10" ht="19.5" customHeight="1" x14ac:dyDescent="0.25">
      <c r="A26" s="36">
        <v>15</v>
      </c>
      <c r="B26" s="7" t="s">
        <v>91</v>
      </c>
      <c r="C26" s="61">
        <v>0.79166666666666663</v>
      </c>
      <c r="D26" s="37" t="s">
        <v>92</v>
      </c>
      <c r="E26" s="75" t="s">
        <v>100</v>
      </c>
      <c r="F26" s="94">
        <v>1</v>
      </c>
      <c r="G26" s="11" t="s">
        <v>34</v>
      </c>
      <c r="H26" s="94">
        <v>3</v>
      </c>
      <c r="I26" s="76" t="s">
        <v>101</v>
      </c>
      <c r="J26" s="64" t="s">
        <v>102</v>
      </c>
    </row>
    <row r="27" spans="1:10" ht="19.5" customHeight="1" x14ac:dyDescent="0.25">
      <c r="A27" s="40">
        <v>16</v>
      </c>
      <c r="B27" s="7" t="s">
        <v>91</v>
      </c>
      <c r="C27" s="61">
        <v>0.91666666666666663</v>
      </c>
      <c r="D27" s="41" t="s">
        <v>96</v>
      </c>
      <c r="E27" s="77" t="s">
        <v>103</v>
      </c>
      <c r="F27" s="95">
        <v>1</v>
      </c>
      <c r="G27" s="11" t="s">
        <v>34</v>
      </c>
      <c r="H27" s="95">
        <v>1</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3</v>
      </c>
      <c r="G29" s="11" t="s">
        <v>34</v>
      </c>
      <c r="H29" s="96">
        <v>1</v>
      </c>
      <c r="I29" s="80" t="s">
        <v>109</v>
      </c>
      <c r="J29" s="64" t="s">
        <v>67</v>
      </c>
    </row>
    <row r="30" spans="1:10" ht="19.5" customHeight="1" x14ac:dyDescent="0.25">
      <c r="A30" s="44">
        <v>18</v>
      </c>
      <c r="B30" s="7" t="s">
        <v>106</v>
      </c>
      <c r="C30" s="61">
        <v>0.79166666666666663</v>
      </c>
      <c r="D30" s="45" t="s">
        <v>107</v>
      </c>
      <c r="E30" s="79" t="s">
        <v>110</v>
      </c>
      <c r="F30" s="96">
        <v>1</v>
      </c>
      <c r="G30" s="11" t="s">
        <v>34</v>
      </c>
      <c r="H30" s="96">
        <v>2</v>
      </c>
      <c r="I30" s="80" t="s">
        <v>111</v>
      </c>
      <c r="J30" s="64" t="s">
        <v>64</v>
      </c>
    </row>
    <row r="31" spans="1:10" ht="19.5" customHeight="1" x14ac:dyDescent="0.25">
      <c r="A31" s="48">
        <v>19</v>
      </c>
      <c r="B31" s="7" t="s">
        <v>106</v>
      </c>
      <c r="C31" s="61">
        <v>0.91666666666666663</v>
      </c>
      <c r="D31" s="49" t="s">
        <v>112</v>
      </c>
      <c r="E31" s="81" t="s">
        <v>113</v>
      </c>
      <c r="F31" s="97">
        <v>4</v>
      </c>
      <c r="G31" s="11" t="s">
        <v>34</v>
      </c>
      <c r="H31" s="97">
        <v>1</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1</v>
      </c>
      <c r="G33" s="11" t="s">
        <v>34</v>
      </c>
      <c r="H33" s="97">
        <v>1</v>
      </c>
      <c r="I33" s="82" t="s">
        <v>119</v>
      </c>
      <c r="J33" s="64" t="s">
        <v>70</v>
      </c>
    </row>
    <row r="34" spans="1:10" ht="19.5" customHeight="1" x14ac:dyDescent="0.25">
      <c r="A34" s="52">
        <v>21</v>
      </c>
      <c r="B34" s="7" t="s">
        <v>117</v>
      </c>
      <c r="C34" s="61">
        <v>0.58333333333333337</v>
      </c>
      <c r="D34" s="53" t="s">
        <v>120</v>
      </c>
      <c r="E34" s="83" t="s">
        <v>121</v>
      </c>
      <c r="F34" s="98">
        <v>4</v>
      </c>
      <c r="G34" s="11" t="s">
        <v>34</v>
      </c>
      <c r="H34" s="98">
        <v>1</v>
      </c>
      <c r="I34" s="84" t="s">
        <v>122</v>
      </c>
      <c r="J34" s="64" t="s">
        <v>79</v>
      </c>
    </row>
    <row r="35" spans="1:10" ht="19.5" customHeight="1" x14ac:dyDescent="0.25">
      <c r="A35" s="56">
        <v>22</v>
      </c>
      <c r="B35" s="7" t="s">
        <v>117</v>
      </c>
      <c r="C35" s="61">
        <v>0.70833333333333337</v>
      </c>
      <c r="D35" s="57" t="s">
        <v>123</v>
      </c>
      <c r="E35" s="85" t="s">
        <v>124</v>
      </c>
      <c r="F35" s="99">
        <v>2</v>
      </c>
      <c r="G35" s="11" t="s">
        <v>34</v>
      </c>
      <c r="H35" s="99">
        <v>2</v>
      </c>
      <c r="I35" s="86" t="s">
        <v>125</v>
      </c>
      <c r="J35" s="64" t="s">
        <v>83</v>
      </c>
    </row>
    <row r="36" spans="1:10" ht="19.5" customHeight="1" x14ac:dyDescent="0.25">
      <c r="A36" s="56">
        <v>23</v>
      </c>
      <c r="B36" s="7" t="s">
        <v>117</v>
      </c>
      <c r="C36" s="61">
        <v>0.83333333333333337</v>
      </c>
      <c r="D36" s="57" t="s">
        <v>123</v>
      </c>
      <c r="E36" s="85" t="s">
        <v>126</v>
      </c>
      <c r="F36" s="99">
        <v>1</v>
      </c>
      <c r="G36" s="11" t="s">
        <v>34</v>
      </c>
      <c r="H36" s="99">
        <v>0</v>
      </c>
      <c r="I36" s="86" t="s">
        <v>127</v>
      </c>
      <c r="J36" s="64" t="s">
        <v>54</v>
      </c>
    </row>
    <row r="37" spans="1:10" ht="19.5" customHeight="1" x14ac:dyDescent="0.25">
      <c r="A37" s="52">
        <v>24</v>
      </c>
      <c r="B37" s="7" t="s">
        <v>117</v>
      </c>
      <c r="C37" s="61">
        <v>0.95833333333333337</v>
      </c>
      <c r="D37" s="53" t="s">
        <v>120</v>
      </c>
      <c r="E37" s="83" t="s">
        <v>128</v>
      </c>
      <c r="F37" s="98">
        <v>0</v>
      </c>
      <c r="G37" s="11" t="s">
        <v>34</v>
      </c>
      <c r="H37" s="98">
        <v>3</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c r="G39" s="11" t="s">
        <v>34</v>
      </c>
      <c r="H39" s="88"/>
      <c r="I39" s="63" t="s">
        <v>44</v>
      </c>
      <c r="J39" s="64" t="s">
        <v>95</v>
      </c>
    </row>
    <row r="40" spans="1:10" ht="19.5" customHeight="1" x14ac:dyDescent="0.25">
      <c r="A40" s="16">
        <v>26</v>
      </c>
      <c r="B40" s="7" t="s">
        <v>131</v>
      </c>
      <c r="C40" s="61">
        <v>0.66666666666666663</v>
      </c>
      <c r="D40" s="17" t="s">
        <v>51</v>
      </c>
      <c r="E40" s="65" t="s">
        <v>69</v>
      </c>
      <c r="F40" s="89">
        <v>0</v>
      </c>
      <c r="G40" s="11" t="s">
        <v>34</v>
      </c>
      <c r="H40" s="89">
        <v>1</v>
      </c>
      <c r="I40" s="66" t="s">
        <v>53</v>
      </c>
      <c r="J40" s="64" t="s">
        <v>58</v>
      </c>
    </row>
    <row r="41" spans="1:10" ht="19.5" customHeight="1" x14ac:dyDescent="0.25">
      <c r="A41" s="16">
        <v>27</v>
      </c>
      <c r="B41" s="7" t="s">
        <v>131</v>
      </c>
      <c r="C41" s="61">
        <v>0.79166666666666663</v>
      </c>
      <c r="D41" s="17" t="s">
        <v>51</v>
      </c>
      <c r="E41" s="65" t="s">
        <v>52</v>
      </c>
      <c r="F41" s="89">
        <v>3</v>
      </c>
      <c r="G41" s="11" t="s">
        <v>34</v>
      </c>
      <c r="H41" s="89">
        <v>1</v>
      </c>
      <c r="I41" s="66" t="s">
        <v>68</v>
      </c>
      <c r="J41" s="64" t="s">
        <v>75</v>
      </c>
    </row>
    <row r="42" spans="1:10" ht="19.5" customHeight="1" x14ac:dyDescent="0.25">
      <c r="A42" s="6">
        <v>28</v>
      </c>
      <c r="B42" s="7" t="s">
        <v>131</v>
      </c>
      <c r="C42" s="61">
        <v>0.91666666666666663</v>
      </c>
      <c r="D42" s="8" t="s">
        <v>42</v>
      </c>
      <c r="E42" s="62" t="s">
        <v>43</v>
      </c>
      <c r="F42" s="88">
        <v>3</v>
      </c>
      <c r="G42" s="11" t="s">
        <v>34</v>
      </c>
      <c r="H42" s="88">
        <v>2</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3</v>
      </c>
      <c r="G44" s="11" t="s">
        <v>34</v>
      </c>
      <c r="H44" s="90">
        <v>1</v>
      </c>
      <c r="I44" s="68" t="s">
        <v>73</v>
      </c>
      <c r="J44" s="64" t="s">
        <v>99</v>
      </c>
    </row>
    <row r="45" spans="1:10" ht="19.5" customHeight="1" x14ac:dyDescent="0.25">
      <c r="A45" s="24">
        <v>30</v>
      </c>
      <c r="B45" s="7" t="s">
        <v>133</v>
      </c>
      <c r="C45" s="61">
        <v>0.79166666666666663</v>
      </c>
      <c r="D45" s="25" t="s">
        <v>61</v>
      </c>
      <c r="E45" s="69" t="s">
        <v>63</v>
      </c>
      <c r="F45" s="91">
        <v>1</v>
      </c>
      <c r="G45" s="11" t="s">
        <v>34</v>
      </c>
      <c r="H45" s="91">
        <v>3</v>
      </c>
      <c r="I45" s="70" t="s">
        <v>66</v>
      </c>
      <c r="J45" s="64" t="s">
        <v>64</v>
      </c>
    </row>
    <row r="46" spans="1:10" ht="19.5" customHeight="1" x14ac:dyDescent="0.25">
      <c r="A46" s="24">
        <v>31</v>
      </c>
      <c r="B46" s="7" t="s">
        <v>133</v>
      </c>
      <c r="C46" s="61">
        <v>0.89583333333333337</v>
      </c>
      <c r="D46" s="25" t="s">
        <v>61</v>
      </c>
      <c r="E46" s="69" t="s">
        <v>65</v>
      </c>
      <c r="F46" s="91">
        <v>2</v>
      </c>
      <c r="G46" s="11" t="s">
        <v>34</v>
      </c>
      <c r="H46" s="91">
        <v>0</v>
      </c>
      <c r="I46" s="70" t="s">
        <v>62</v>
      </c>
      <c r="J46" s="64" t="s">
        <v>86</v>
      </c>
    </row>
    <row r="47" spans="1:10" ht="19.5" customHeight="1" x14ac:dyDescent="0.25">
      <c r="A47" s="20">
        <v>32</v>
      </c>
      <c r="B47" s="7" t="s">
        <v>133</v>
      </c>
      <c r="C47" s="61">
        <v>0.99930555555555556</v>
      </c>
      <c r="D47" s="21" t="s">
        <v>55</v>
      </c>
      <c r="E47" s="67" t="s">
        <v>74</v>
      </c>
      <c r="F47" s="90">
        <v>0</v>
      </c>
      <c r="G47" s="11" t="s">
        <v>34</v>
      </c>
      <c r="H47" s="90">
        <v>1</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3</v>
      </c>
      <c r="G49" s="11" t="s">
        <v>34</v>
      </c>
      <c r="H49" s="93">
        <v>1</v>
      </c>
      <c r="I49" s="74" t="s">
        <v>87</v>
      </c>
      <c r="J49" s="64" t="s">
        <v>79</v>
      </c>
    </row>
    <row r="50" spans="1:10" ht="19.5" customHeight="1" x14ac:dyDescent="0.25">
      <c r="A50" s="28">
        <v>34</v>
      </c>
      <c r="B50" s="7" t="s">
        <v>135</v>
      </c>
      <c r="C50" s="61">
        <v>0.70833333333333337</v>
      </c>
      <c r="D50" s="29" t="s">
        <v>76</v>
      </c>
      <c r="E50" s="71" t="s">
        <v>77</v>
      </c>
      <c r="F50" s="92">
        <v>5</v>
      </c>
      <c r="G50" s="11" t="s">
        <v>34</v>
      </c>
      <c r="H50" s="92">
        <v>0</v>
      </c>
      <c r="I50" s="72" t="s">
        <v>84</v>
      </c>
      <c r="J50" s="64" t="s">
        <v>54</v>
      </c>
    </row>
    <row r="51" spans="1:10" ht="19.5" customHeight="1" x14ac:dyDescent="0.25">
      <c r="A51" s="28">
        <v>35</v>
      </c>
      <c r="B51" s="7" t="s">
        <v>135</v>
      </c>
      <c r="C51" s="61">
        <v>0.875</v>
      </c>
      <c r="D51" s="29" t="s">
        <v>76</v>
      </c>
      <c r="E51" s="71" t="s">
        <v>85</v>
      </c>
      <c r="F51" s="92">
        <v>2</v>
      </c>
      <c r="G51" s="11" t="s">
        <v>34</v>
      </c>
      <c r="H51" s="92">
        <v>1</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1</v>
      </c>
      <c r="G53" s="11" t="s">
        <v>34</v>
      </c>
      <c r="H53" s="93">
        <v>1</v>
      </c>
      <c r="I53" s="74" t="s">
        <v>82</v>
      </c>
      <c r="J53" s="64" t="s">
        <v>89</v>
      </c>
    </row>
    <row r="54" spans="1:10" ht="19.5" customHeight="1" x14ac:dyDescent="0.25">
      <c r="A54" s="36">
        <v>37</v>
      </c>
      <c r="B54" s="7" t="s">
        <v>137</v>
      </c>
      <c r="C54" s="61">
        <v>0.54166666666666663</v>
      </c>
      <c r="D54" s="37" t="s">
        <v>92</v>
      </c>
      <c r="E54" s="75" t="s">
        <v>93</v>
      </c>
      <c r="F54" s="94">
        <v>3</v>
      </c>
      <c r="G54" s="11" t="s">
        <v>34</v>
      </c>
      <c r="H54" s="94">
        <v>2</v>
      </c>
      <c r="I54" s="76" t="s">
        <v>100</v>
      </c>
      <c r="J54" s="64" t="s">
        <v>95</v>
      </c>
    </row>
    <row r="55" spans="1:10" ht="19.5" customHeight="1" x14ac:dyDescent="0.25">
      <c r="A55" s="40">
        <v>38</v>
      </c>
      <c r="B55" s="7" t="s">
        <v>137</v>
      </c>
      <c r="C55" s="61">
        <v>0.66666666666666663</v>
      </c>
      <c r="D55" s="41" t="s">
        <v>96</v>
      </c>
      <c r="E55" s="77" t="s">
        <v>97</v>
      </c>
      <c r="F55" s="95">
        <v>4</v>
      </c>
      <c r="G55" s="11" t="s">
        <v>34</v>
      </c>
      <c r="H55" s="95">
        <v>1</v>
      </c>
      <c r="I55" s="78" t="s">
        <v>103</v>
      </c>
      <c r="J55" s="64" t="s">
        <v>58</v>
      </c>
    </row>
    <row r="56" spans="1:10" ht="19.5" customHeight="1" x14ac:dyDescent="0.25">
      <c r="A56" s="36">
        <v>39</v>
      </c>
      <c r="B56" s="7" t="s">
        <v>137</v>
      </c>
      <c r="C56" s="61">
        <v>0.79166666666666663</v>
      </c>
      <c r="D56" s="37" t="s">
        <v>92</v>
      </c>
      <c r="E56" s="75" t="s">
        <v>101</v>
      </c>
      <c r="F56" s="94">
        <v>2</v>
      </c>
      <c r="G56" s="11" t="s">
        <v>34</v>
      </c>
      <c r="H56" s="94">
        <v>0</v>
      </c>
      <c r="I56" s="76" t="s">
        <v>94</v>
      </c>
      <c r="J56" s="64" t="s">
        <v>102</v>
      </c>
    </row>
    <row r="57" spans="1:10" ht="19.5" customHeight="1" x14ac:dyDescent="0.25">
      <c r="A57" s="40">
        <v>40</v>
      </c>
      <c r="B57" s="7" t="s">
        <v>137</v>
      </c>
      <c r="C57" s="61">
        <v>0.91666666666666663</v>
      </c>
      <c r="D57" s="41" t="s">
        <v>96</v>
      </c>
      <c r="E57" s="77" t="s">
        <v>104</v>
      </c>
      <c r="F57" s="95">
        <v>1</v>
      </c>
      <c r="G57" s="11" t="s">
        <v>34</v>
      </c>
      <c r="H57" s="95">
        <v>2</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3</v>
      </c>
      <c r="G59" s="11" t="s">
        <v>34</v>
      </c>
      <c r="H59" s="97">
        <v>0</v>
      </c>
      <c r="I59" s="82" t="s">
        <v>118</v>
      </c>
      <c r="J59" s="64" t="s">
        <v>83</v>
      </c>
    </row>
    <row r="60" spans="1:10" ht="19.5" customHeight="1" x14ac:dyDescent="0.25">
      <c r="A60" s="44">
        <v>42</v>
      </c>
      <c r="B60" s="7" t="s">
        <v>139</v>
      </c>
      <c r="C60" s="61">
        <v>0.75</v>
      </c>
      <c r="D60" s="45" t="s">
        <v>107</v>
      </c>
      <c r="E60" s="79" t="s">
        <v>108</v>
      </c>
      <c r="F60" s="96">
        <v>4</v>
      </c>
      <c r="G60" s="11" t="s">
        <v>34</v>
      </c>
      <c r="H60" s="96">
        <v>0</v>
      </c>
      <c r="I60" s="80" t="s">
        <v>110</v>
      </c>
      <c r="J60" s="64" t="s">
        <v>86</v>
      </c>
    </row>
    <row r="61" spans="1:10" ht="19.5" customHeight="1" x14ac:dyDescent="0.25">
      <c r="A61" s="44">
        <v>43</v>
      </c>
      <c r="B61" s="7" t="s">
        <v>139</v>
      </c>
      <c r="C61" s="61">
        <v>0.875</v>
      </c>
      <c r="D61" s="45" t="s">
        <v>107</v>
      </c>
      <c r="E61" s="79" t="s">
        <v>111</v>
      </c>
      <c r="F61" s="96">
        <v>3</v>
      </c>
      <c r="G61" s="11" t="s">
        <v>34</v>
      </c>
      <c r="H61" s="96">
        <v>1</v>
      </c>
      <c r="I61" s="80" t="s">
        <v>109</v>
      </c>
      <c r="J61" s="64" t="s">
        <v>67</v>
      </c>
    </row>
    <row r="62" spans="1:10" ht="19.5" customHeight="1" x14ac:dyDescent="0.25">
      <c r="A62" s="48">
        <v>44</v>
      </c>
      <c r="B62" s="7" t="s">
        <v>139</v>
      </c>
      <c r="C62" s="61">
        <v>0.99930555555555556</v>
      </c>
      <c r="D62" s="49" t="s">
        <v>112</v>
      </c>
      <c r="E62" s="81" t="s">
        <v>119</v>
      </c>
      <c r="F62" s="97">
        <v>2</v>
      </c>
      <c r="G62" s="11" t="s">
        <v>34</v>
      </c>
      <c r="H62" s="97">
        <v>2</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3</v>
      </c>
      <c r="G64" s="11" t="s">
        <v>34</v>
      </c>
      <c r="H64" s="98">
        <v>1</v>
      </c>
      <c r="I64" s="84" t="s">
        <v>128</v>
      </c>
      <c r="J64" s="64" t="s">
        <v>79</v>
      </c>
    </row>
    <row r="65" spans="1:10" ht="19.5" customHeight="1" x14ac:dyDescent="0.25">
      <c r="A65" s="56">
        <v>46</v>
      </c>
      <c r="B65" s="7" t="s">
        <v>141</v>
      </c>
      <c r="C65" s="61">
        <v>0.70833333333333337</v>
      </c>
      <c r="D65" s="57" t="s">
        <v>123</v>
      </c>
      <c r="E65" s="85" t="s">
        <v>124</v>
      </c>
      <c r="F65" s="99">
        <v>4</v>
      </c>
      <c r="G65" s="11" t="s">
        <v>34</v>
      </c>
      <c r="H65" s="99">
        <v>2</v>
      </c>
      <c r="I65" s="86" t="s">
        <v>126</v>
      </c>
      <c r="J65" s="64" t="s">
        <v>64</v>
      </c>
    </row>
    <row r="66" spans="1:10" ht="19.5" customHeight="1" x14ac:dyDescent="0.25">
      <c r="A66" s="56">
        <v>47</v>
      </c>
      <c r="B66" s="7" t="s">
        <v>141</v>
      </c>
      <c r="C66" s="61">
        <v>0.83333333333333337</v>
      </c>
      <c r="D66" s="57" t="s">
        <v>123</v>
      </c>
      <c r="E66" s="85" t="s">
        <v>127</v>
      </c>
      <c r="F66" s="99">
        <v>1</v>
      </c>
      <c r="G66" s="11" t="s">
        <v>34</v>
      </c>
      <c r="H66" s="99">
        <v>3</v>
      </c>
      <c r="I66" s="86" t="s">
        <v>125</v>
      </c>
      <c r="J66" s="64" t="s">
        <v>54</v>
      </c>
    </row>
    <row r="67" spans="1:10" ht="19.5" customHeight="1" x14ac:dyDescent="0.25">
      <c r="A67" s="52">
        <v>48</v>
      </c>
      <c r="B67" s="7" t="s">
        <v>141</v>
      </c>
      <c r="C67" s="61">
        <v>0.95833333333333337</v>
      </c>
      <c r="D67" s="53" t="s">
        <v>120</v>
      </c>
      <c r="E67" s="83" t="s">
        <v>129</v>
      </c>
      <c r="F67" s="98">
        <v>3</v>
      </c>
      <c r="G67" s="11" t="s">
        <v>34</v>
      </c>
      <c r="H67" s="98">
        <v>1</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3</v>
      </c>
      <c r="G69" s="11" t="s">
        <v>34</v>
      </c>
      <c r="H69" s="89">
        <v>2</v>
      </c>
      <c r="I69" s="66" t="s">
        <v>52</v>
      </c>
      <c r="J69" s="64" t="s">
        <v>75</v>
      </c>
    </row>
    <row r="70" spans="1:10" ht="19.5" customHeight="1" x14ac:dyDescent="0.25">
      <c r="A70" s="16">
        <v>50</v>
      </c>
      <c r="B70" s="7" t="s">
        <v>143</v>
      </c>
      <c r="C70" s="61">
        <v>0.66666666666666663</v>
      </c>
      <c r="D70" s="17" t="s">
        <v>51</v>
      </c>
      <c r="E70" s="65" t="s">
        <v>53</v>
      </c>
      <c r="F70" s="89">
        <v>1</v>
      </c>
      <c r="G70" s="11" t="s">
        <v>34</v>
      </c>
      <c r="H70" s="89">
        <v>0</v>
      </c>
      <c r="I70" s="66" t="s">
        <v>68</v>
      </c>
      <c r="J70" s="64" t="s">
        <v>99</v>
      </c>
    </row>
    <row r="71" spans="1:10" ht="19.5" customHeight="1" x14ac:dyDescent="0.25">
      <c r="A71" s="24">
        <v>51</v>
      </c>
      <c r="B71" s="7" t="s">
        <v>143</v>
      </c>
      <c r="C71" s="61">
        <v>0.79166666666666663</v>
      </c>
      <c r="D71" s="25" t="s">
        <v>61</v>
      </c>
      <c r="E71" s="69" t="s">
        <v>63</v>
      </c>
      <c r="F71" s="91">
        <v>1</v>
      </c>
      <c r="G71" s="11" t="s">
        <v>34</v>
      </c>
      <c r="H71" s="91">
        <v>4</v>
      </c>
      <c r="I71" s="70" t="s">
        <v>65</v>
      </c>
      <c r="J71" s="64" t="s">
        <v>102</v>
      </c>
    </row>
    <row r="72" spans="1:10" ht="19.5" customHeight="1" x14ac:dyDescent="0.25">
      <c r="A72" s="24">
        <v>52</v>
      </c>
      <c r="B72" s="7" t="s">
        <v>143</v>
      </c>
      <c r="C72" s="61">
        <v>0.79166666666666663</v>
      </c>
      <c r="D72" s="25" t="s">
        <v>61</v>
      </c>
      <c r="E72" s="69" t="s">
        <v>66</v>
      </c>
      <c r="F72" s="91">
        <v>2</v>
      </c>
      <c r="G72" s="11" t="s">
        <v>34</v>
      </c>
      <c r="H72" s="91">
        <v>0</v>
      </c>
      <c r="I72" s="70" t="s">
        <v>62</v>
      </c>
      <c r="J72" s="64" t="s">
        <v>95</v>
      </c>
    </row>
    <row r="73" spans="1:10" ht="19.5" customHeight="1" x14ac:dyDescent="0.25">
      <c r="A73" s="6">
        <v>53</v>
      </c>
      <c r="B73" s="7" t="s">
        <v>143</v>
      </c>
      <c r="C73" s="61">
        <v>0.91666666666666663</v>
      </c>
      <c r="D73" s="8" t="s">
        <v>42</v>
      </c>
      <c r="E73" s="62" t="s">
        <v>47</v>
      </c>
      <c r="F73" s="88">
        <v>2</v>
      </c>
      <c r="G73" s="11" t="s">
        <v>34</v>
      </c>
      <c r="H73" s="88">
        <v>2</v>
      </c>
      <c r="I73" s="63" t="s">
        <v>43</v>
      </c>
      <c r="J73" s="64" t="s">
        <v>45</v>
      </c>
    </row>
    <row r="74" spans="1:10" ht="19.5" customHeight="1" x14ac:dyDescent="0.25">
      <c r="A74" s="6">
        <v>54</v>
      </c>
      <c r="B74" s="7" t="s">
        <v>143</v>
      </c>
      <c r="C74" s="61">
        <v>0.91666666666666663</v>
      </c>
      <c r="D74" s="8" t="s">
        <v>42</v>
      </c>
      <c r="E74" s="62" t="s">
        <v>44</v>
      </c>
      <c r="F74" s="88">
        <v>1</v>
      </c>
      <c r="G74" s="11" t="s">
        <v>34</v>
      </c>
      <c r="H74" s="88">
        <v>2</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1</v>
      </c>
      <c r="G76" s="11" t="s">
        <v>34</v>
      </c>
      <c r="H76" s="92">
        <v>3</v>
      </c>
      <c r="I76" s="72" t="s">
        <v>84</v>
      </c>
      <c r="J76" s="64" t="s">
        <v>86</v>
      </c>
    </row>
    <row r="77" spans="1:10" ht="19.5" customHeight="1" x14ac:dyDescent="0.25">
      <c r="A77" s="28">
        <v>56</v>
      </c>
      <c r="B77" s="7" t="s">
        <v>145</v>
      </c>
      <c r="C77" s="61">
        <v>0.70833333333333337</v>
      </c>
      <c r="D77" s="29" t="s">
        <v>76</v>
      </c>
      <c r="E77" s="71" t="s">
        <v>85</v>
      </c>
      <c r="F77" s="92">
        <v>1</v>
      </c>
      <c r="G77" s="11" t="s">
        <v>34</v>
      </c>
      <c r="H77" s="92">
        <v>4</v>
      </c>
      <c r="I77" s="72" t="s">
        <v>77</v>
      </c>
      <c r="J77" s="64" t="s">
        <v>67</v>
      </c>
    </row>
    <row r="78" spans="1:10" ht="19.5" customHeight="1" x14ac:dyDescent="0.25">
      <c r="A78" s="32">
        <v>57</v>
      </c>
      <c r="B78" s="7" t="s">
        <v>145</v>
      </c>
      <c r="C78" s="61">
        <v>0.83333333333333337</v>
      </c>
      <c r="D78" s="33" t="s">
        <v>80</v>
      </c>
      <c r="E78" s="73" t="s">
        <v>82</v>
      </c>
      <c r="F78" s="93">
        <v>2</v>
      </c>
      <c r="G78" s="11" t="s">
        <v>34</v>
      </c>
      <c r="H78" s="93">
        <v>2</v>
      </c>
      <c r="I78" s="74" t="s">
        <v>87</v>
      </c>
      <c r="J78" s="64" t="s">
        <v>83</v>
      </c>
    </row>
    <row r="79" spans="1:10" ht="19.5" customHeight="1" x14ac:dyDescent="0.25">
      <c r="A79" s="32">
        <v>58</v>
      </c>
      <c r="B79" s="7" t="s">
        <v>145</v>
      </c>
      <c r="C79" s="61">
        <v>0.83333333333333337</v>
      </c>
      <c r="D79" s="33" t="s">
        <v>80</v>
      </c>
      <c r="E79" s="73" t="s">
        <v>88</v>
      </c>
      <c r="F79" s="93">
        <v>1</v>
      </c>
      <c r="G79" s="11" t="s">
        <v>34</v>
      </c>
      <c r="H79" s="93">
        <v>3</v>
      </c>
      <c r="I79" s="74" t="s">
        <v>81</v>
      </c>
      <c r="J79" s="64" t="s">
        <v>115</v>
      </c>
    </row>
    <row r="80" spans="1:10" ht="19.5" customHeight="1" x14ac:dyDescent="0.25">
      <c r="A80" s="20">
        <v>59</v>
      </c>
      <c r="B80" s="7" t="s">
        <v>145</v>
      </c>
      <c r="C80" s="61">
        <v>0.95833333333333337</v>
      </c>
      <c r="D80" s="21" t="s">
        <v>55</v>
      </c>
      <c r="E80" s="67" t="s">
        <v>74</v>
      </c>
      <c r="F80" s="90">
        <v>1</v>
      </c>
      <c r="G80" s="11" t="s">
        <v>34</v>
      </c>
      <c r="H80" s="90">
        <v>3</v>
      </c>
      <c r="I80" s="68" t="s">
        <v>56</v>
      </c>
      <c r="J80" s="64" t="s">
        <v>58</v>
      </c>
    </row>
    <row r="81" spans="1:10" ht="19.5" customHeight="1" x14ac:dyDescent="0.25">
      <c r="A81" s="20">
        <v>60</v>
      </c>
      <c r="B81" s="7" t="s">
        <v>145</v>
      </c>
      <c r="C81" s="61">
        <v>0.95833333333333337</v>
      </c>
      <c r="D81" s="21" t="s">
        <v>55</v>
      </c>
      <c r="E81" s="67" t="s">
        <v>57</v>
      </c>
      <c r="F81" s="90">
        <v>1</v>
      </c>
      <c r="G81" s="11" t="s">
        <v>34</v>
      </c>
      <c r="H81" s="90">
        <v>1</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v>2</v>
      </c>
      <c r="G83" s="11" t="s">
        <v>34</v>
      </c>
      <c r="H83" s="96">
        <v>2</v>
      </c>
      <c r="I83" s="80" t="s">
        <v>108</v>
      </c>
      <c r="J83" s="64" t="s">
        <v>64</v>
      </c>
    </row>
    <row r="84" spans="1:10" ht="19.5" customHeight="1" x14ac:dyDescent="0.25">
      <c r="A84" s="44">
        <v>62</v>
      </c>
      <c r="B84" s="7" t="s">
        <v>147</v>
      </c>
      <c r="C84" s="61">
        <v>0.66666666666666663</v>
      </c>
      <c r="D84" s="45" t="s">
        <v>107</v>
      </c>
      <c r="E84" s="79" t="s">
        <v>109</v>
      </c>
      <c r="F84" s="96">
        <v>1</v>
      </c>
      <c r="G84" s="11" t="s">
        <v>34</v>
      </c>
      <c r="H84" s="96">
        <v>1</v>
      </c>
      <c r="I84" s="80" t="s">
        <v>110</v>
      </c>
      <c r="J84" s="64" t="s">
        <v>54</v>
      </c>
    </row>
    <row r="85" spans="1:10" ht="19.5" customHeight="1" x14ac:dyDescent="0.25">
      <c r="A85" s="36">
        <v>63</v>
      </c>
      <c r="B85" s="7" t="s">
        <v>147</v>
      </c>
      <c r="C85" s="61">
        <v>0.875</v>
      </c>
      <c r="D85" s="37" t="s">
        <v>92</v>
      </c>
      <c r="E85" s="75" t="s">
        <v>94</v>
      </c>
      <c r="F85" s="94">
        <v>1</v>
      </c>
      <c r="G85" s="11" t="s">
        <v>34</v>
      </c>
      <c r="H85" s="94">
        <v>2</v>
      </c>
      <c r="I85" s="76" t="s">
        <v>100</v>
      </c>
      <c r="J85" s="64" t="s">
        <v>79</v>
      </c>
    </row>
    <row r="86" spans="1:10" ht="19.5" customHeight="1" x14ac:dyDescent="0.25">
      <c r="A86" s="36">
        <v>64</v>
      </c>
      <c r="B86" s="7" t="s">
        <v>147</v>
      </c>
      <c r="C86" s="61">
        <v>0.875</v>
      </c>
      <c r="D86" s="37" t="s">
        <v>92</v>
      </c>
      <c r="E86" s="75" t="s">
        <v>101</v>
      </c>
      <c r="F86" s="94">
        <v>1</v>
      </c>
      <c r="G86" s="11" t="s">
        <v>34</v>
      </c>
      <c r="H86" s="94">
        <v>2</v>
      </c>
      <c r="I86" s="76" t="s">
        <v>93</v>
      </c>
      <c r="J86" s="64" t="s">
        <v>48</v>
      </c>
    </row>
    <row r="87" spans="1:10" ht="19.5" customHeight="1" x14ac:dyDescent="0.25">
      <c r="A87" s="40">
        <v>65</v>
      </c>
      <c r="B87" s="7" t="s">
        <v>147</v>
      </c>
      <c r="C87" s="61">
        <v>0.99930555555555556</v>
      </c>
      <c r="D87" s="41" t="s">
        <v>96</v>
      </c>
      <c r="E87" s="77" t="s">
        <v>98</v>
      </c>
      <c r="F87" s="95">
        <v>2</v>
      </c>
      <c r="G87" s="11" t="s">
        <v>34</v>
      </c>
      <c r="H87" s="95">
        <v>1</v>
      </c>
      <c r="I87" s="78" t="s">
        <v>103</v>
      </c>
      <c r="J87" s="64" t="s">
        <v>99</v>
      </c>
    </row>
    <row r="88" spans="1:10" ht="19.5" customHeight="1" x14ac:dyDescent="0.25">
      <c r="A88" s="40">
        <v>66</v>
      </c>
      <c r="B88" s="7" t="s">
        <v>147</v>
      </c>
      <c r="C88" s="61">
        <v>0.99930555555555556</v>
      </c>
      <c r="D88" s="41" t="s">
        <v>96</v>
      </c>
      <c r="E88" s="77" t="s">
        <v>104</v>
      </c>
      <c r="F88" s="95">
        <v>2</v>
      </c>
      <c r="G88" s="11" t="s">
        <v>34</v>
      </c>
      <c r="H88" s="95">
        <v>2</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1</v>
      </c>
      <c r="G90" s="11" t="s">
        <v>34</v>
      </c>
      <c r="H90" s="99">
        <v>3</v>
      </c>
      <c r="I90" s="86" t="s">
        <v>124</v>
      </c>
      <c r="J90" s="64" t="s">
        <v>67</v>
      </c>
    </row>
    <row r="91" spans="1:10" ht="19.5" customHeight="1" x14ac:dyDescent="0.25">
      <c r="A91" s="56">
        <v>68</v>
      </c>
      <c r="B91" s="7" t="s">
        <v>149</v>
      </c>
      <c r="C91" s="61">
        <v>0.75</v>
      </c>
      <c r="D91" s="57" t="s">
        <v>123</v>
      </c>
      <c r="E91" s="85" t="s">
        <v>125</v>
      </c>
      <c r="F91" s="99">
        <v>2</v>
      </c>
      <c r="G91" s="11" t="s">
        <v>34</v>
      </c>
      <c r="H91" s="99">
        <v>1</v>
      </c>
      <c r="I91" s="86" t="s">
        <v>126</v>
      </c>
      <c r="J91" s="64" t="s">
        <v>86</v>
      </c>
    </row>
    <row r="92" spans="1:10" ht="19.5" customHeight="1" x14ac:dyDescent="0.25">
      <c r="A92" s="52">
        <v>69</v>
      </c>
      <c r="B92" s="7" t="s">
        <v>149</v>
      </c>
      <c r="C92" s="61">
        <v>0.85416666666666663</v>
      </c>
      <c r="D92" s="53" t="s">
        <v>120</v>
      </c>
      <c r="E92" s="83" t="s">
        <v>129</v>
      </c>
      <c r="F92" s="98">
        <v>2</v>
      </c>
      <c r="G92" s="11" t="s">
        <v>34</v>
      </c>
      <c r="H92" s="98">
        <v>2</v>
      </c>
      <c r="I92" s="84" t="s">
        <v>121</v>
      </c>
      <c r="J92" s="64" t="s">
        <v>102</v>
      </c>
    </row>
    <row r="93" spans="1:10" ht="19.5" customHeight="1" x14ac:dyDescent="0.25">
      <c r="A93" s="52">
        <v>70</v>
      </c>
      <c r="B93" s="7" t="s">
        <v>149</v>
      </c>
      <c r="C93" s="61">
        <v>0.85416666666666663</v>
      </c>
      <c r="D93" s="53" t="s">
        <v>120</v>
      </c>
      <c r="E93" s="83" t="s">
        <v>122</v>
      </c>
      <c r="F93" s="98">
        <v>1</v>
      </c>
      <c r="G93" s="11" t="s">
        <v>34</v>
      </c>
      <c r="H93" s="98">
        <v>2</v>
      </c>
      <c r="I93" s="84" t="s">
        <v>128</v>
      </c>
      <c r="J93" s="64" t="s">
        <v>95</v>
      </c>
    </row>
    <row r="94" spans="1:10" ht="19.5" customHeight="1" x14ac:dyDescent="0.25">
      <c r="A94" s="48">
        <v>71</v>
      </c>
      <c r="B94" s="7" t="s">
        <v>149</v>
      </c>
      <c r="C94" s="61">
        <v>0.95833333333333337</v>
      </c>
      <c r="D94" s="49" t="s">
        <v>112</v>
      </c>
      <c r="E94" s="81" t="s">
        <v>114</v>
      </c>
      <c r="F94" s="97">
        <v>1</v>
      </c>
      <c r="G94" s="11" t="s">
        <v>34</v>
      </c>
      <c r="H94" s="97">
        <v>2</v>
      </c>
      <c r="I94" s="82" t="s">
        <v>118</v>
      </c>
      <c r="J94" s="64" t="s">
        <v>115</v>
      </c>
    </row>
    <row r="95" spans="1:10" ht="19.5" customHeight="1" x14ac:dyDescent="0.25">
      <c r="A95" s="48">
        <v>72</v>
      </c>
      <c r="B95" s="7" t="s">
        <v>149</v>
      </c>
      <c r="C95" s="61">
        <v>0.95833333333333337</v>
      </c>
      <c r="D95" s="49" t="s">
        <v>112</v>
      </c>
      <c r="E95" s="81" t="s">
        <v>119</v>
      </c>
      <c r="F95" s="97">
        <v>1</v>
      </c>
      <c r="G95" s="11" t="s">
        <v>34</v>
      </c>
      <c r="H95" s="97">
        <v>3</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29"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28"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7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J1000"/>
  <sheetViews>
    <sheetView topLeftCell="A52" zoomScaleNormal="100" workbookViewId="0">
      <selection activeCell="M67" sqref="M67"/>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176</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1</v>
      </c>
      <c r="G8" s="11" t="s">
        <v>34</v>
      </c>
      <c r="H8" s="88">
        <v>2</v>
      </c>
      <c r="I8" s="63" t="s">
        <v>44</v>
      </c>
      <c r="J8" s="64" t="s">
        <v>45</v>
      </c>
    </row>
    <row r="9" spans="1:10" ht="19.5" customHeight="1" x14ac:dyDescent="0.25">
      <c r="A9" s="6">
        <v>2</v>
      </c>
      <c r="B9" s="7" t="s">
        <v>41</v>
      </c>
      <c r="C9" s="61">
        <v>0.95833333333333337</v>
      </c>
      <c r="D9" s="8" t="s">
        <v>42</v>
      </c>
      <c r="E9" s="62" t="s">
        <v>46</v>
      </c>
      <c r="F9" s="88">
        <v>2</v>
      </c>
      <c r="G9" s="11" t="s">
        <v>34</v>
      </c>
      <c r="H9" s="88">
        <v>1</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1</v>
      </c>
      <c r="G11" s="11" t="s">
        <v>34</v>
      </c>
      <c r="H11" s="89">
        <v>0</v>
      </c>
      <c r="I11" s="66" t="s">
        <v>53</v>
      </c>
      <c r="J11" s="64" t="s">
        <v>54</v>
      </c>
    </row>
    <row r="12" spans="1:10" ht="19.5" customHeight="1" x14ac:dyDescent="0.25">
      <c r="A12" s="20">
        <v>4</v>
      </c>
      <c r="B12" s="7" t="s">
        <v>50</v>
      </c>
      <c r="C12" s="61">
        <v>0.66666666666666663</v>
      </c>
      <c r="D12" s="21" t="s">
        <v>55</v>
      </c>
      <c r="E12" s="67" t="s">
        <v>56</v>
      </c>
      <c r="F12" s="90">
        <v>2</v>
      </c>
      <c r="G12" s="11" t="s">
        <v>34</v>
      </c>
      <c r="H12" s="90">
        <v>1</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0</v>
      </c>
      <c r="G14" s="11" t="s">
        <v>34</v>
      </c>
      <c r="H14" s="91">
        <v>1</v>
      </c>
      <c r="I14" s="70" t="s">
        <v>63</v>
      </c>
      <c r="J14" s="64" t="s">
        <v>64</v>
      </c>
    </row>
    <row r="15" spans="1:10" ht="19.5" customHeight="1" x14ac:dyDescent="0.25">
      <c r="A15" s="24">
        <v>6</v>
      </c>
      <c r="B15" s="7" t="s">
        <v>60</v>
      </c>
      <c r="C15" s="61">
        <v>0.79166666666666663</v>
      </c>
      <c r="D15" s="25" t="s">
        <v>61</v>
      </c>
      <c r="E15" s="69" t="s">
        <v>65</v>
      </c>
      <c r="F15" s="91">
        <v>4</v>
      </c>
      <c r="G15" s="11" t="s">
        <v>34</v>
      </c>
      <c r="H15" s="91">
        <v>1</v>
      </c>
      <c r="I15" s="70" t="s">
        <v>66</v>
      </c>
      <c r="J15" s="64" t="s">
        <v>67</v>
      </c>
    </row>
    <row r="16" spans="1:10" ht="19.5" customHeight="1" x14ac:dyDescent="0.25">
      <c r="A16" s="16">
        <v>7</v>
      </c>
      <c r="B16" s="7" t="s">
        <v>60</v>
      </c>
      <c r="C16" s="61">
        <v>0.66666666666666663</v>
      </c>
      <c r="D16" s="17" t="s">
        <v>51</v>
      </c>
      <c r="E16" s="65" t="s">
        <v>68</v>
      </c>
      <c r="F16" s="89">
        <v>2</v>
      </c>
      <c r="G16" s="11" t="s">
        <v>34</v>
      </c>
      <c r="H16" s="89">
        <v>1</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2</v>
      </c>
      <c r="G18" s="11" t="s">
        <v>34</v>
      </c>
      <c r="H18" s="90">
        <v>1</v>
      </c>
      <c r="I18" s="68" t="s">
        <v>74</v>
      </c>
      <c r="J18" s="64" t="s">
        <v>75</v>
      </c>
    </row>
    <row r="19" spans="1:10" ht="19.5" customHeight="1" x14ac:dyDescent="0.25">
      <c r="A19" s="28">
        <v>9</v>
      </c>
      <c r="B19" s="7" t="s">
        <v>72</v>
      </c>
      <c r="C19" s="61">
        <v>0.58333333333333337</v>
      </c>
      <c r="D19" s="29" t="s">
        <v>76</v>
      </c>
      <c r="E19" s="71" t="s">
        <v>77</v>
      </c>
      <c r="F19" s="92">
        <v>2</v>
      </c>
      <c r="G19" s="11" t="s">
        <v>34</v>
      </c>
      <c r="H19" s="92">
        <v>2</v>
      </c>
      <c r="I19" s="72" t="s">
        <v>78</v>
      </c>
      <c r="J19" s="64" t="s">
        <v>79</v>
      </c>
    </row>
    <row r="20" spans="1:10" ht="19.5" customHeight="1" x14ac:dyDescent="0.25">
      <c r="A20" s="32">
        <v>10</v>
      </c>
      <c r="B20" s="7" t="s">
        <v>72</v>
      </c>
      <c r="C20" s="61">
        <v>0.70833333333333337</v>
      </c>
      <c r="D20" s="33" t="s">
        <v>80</v>
      </c>
      <c r="E20" s="73" t="s">
        <v>81</v>
      </c>
      <c r="F20" s="93">
        <v>1</v>
      </c>
      <c r="G20" s="11" t="s">
        <v>34</v>
      </c>
      <c r="H20" s="93">
        <v>2</v>
      </c>
      <c r="I20" s="74" t="s">
        <v>82</v>
      </c>
      <c r="J20" s="64" t="s">
        <v>83</v>
      </c>
    </row>
    <row r="21" spans="1:10" ht="19.5" customHeight="1" x14ac:dyDescent="0.25">
      <c r="A21" s="28">
        <v>11</v>
      </c>
      <c r="B21" s="7" t="s">
        <v>72</v>
      </c>
      <c r="C21" s="61">
        <v>0.83333333333333337</v>
      </c>
      <c r="D21" s="29" t="s">
        <v>76</v>
      </c>
      <c r="E21" s="71" t="s">
        <v>84</v>
      </c>
      <c r="F21" s="92">
        <v>1</v>
      </c>
      <c r="G21" s="11" t="s">
        <v>34</v>
      </c>
      <c r="H21" s="92">
        <v>1</v>
      </c>
      <c r="I21" s="72" t="s">
        <v>85</v>
      </c>
      <c r="J21" s="64" t="s">
        <v>86</v>
      </c>
    </row>
    <row r="22" spans="1:10" ht="19.5" customHeight="1" x14ac:dyDescent="0.25">
      <c r="A22" s="32">
        <v>12</v>
      </c>
      <c r="B22" s="7" t="s">
        <v>72</v>
      </c>
      <c r="C22" s="61">
        <v>0.95833333333333337</v>
      </c>
      <c r="D22" s="33" t="s">
        <v>80</v>
      </c>
      <c r="E22" s="73" t="s">
        <v>87</v>
      </c>
      <c r="F22" s="93">
        <v>1</v>
      </c>
      <c r="G22" s="11" t="s">
        <v>34</v>
      </c>
      <c r="H22" s="93">
        <v>0</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2</v>
      </c>
      <c r="G24" s="11" t="s">
        <v>34</v>
      </c>
      <c r="H24" s="94">
        <v>1</v>
      </c>
      <c r="I24" s="76" t="s">
        <v>94</v>
      </c>
      <c r="J24" s="64" t="s">
        <v>95</v>
      </c>
    </row>
    <row r="25" spans="1:10" ht="19.5" customHeight="1" x14ac:dyDescent="0.25">
      <c r="A25" s="40">
        <v>14</v>
      </c>
      <c r="B25" s="7" t="s">
        <v>91</v>
      </c>
      <c r="C25" s="61">
        <v>0.66666666666666663</v>
      </c>
      <c r="D25" s="41" t="s">
        <v>96</v>
      </c>
      <c r="E25" s="77" t="s">
        <v>97</v>
      </c>
      <c r="F25" s="95">
        <v>2</v>
      </c>
      <c r="G25" s="11" t="s">
        <v>34</v>
      </c>
      <c r="H25" s="95">
        <v>1</v>
      </c>
      <c r="I25" s="78" t="s">
        <v>98</v>
      </c>
      <c r="J25" s="64" t="s">
        <v>99</v>
      </c>
    </row>
    <row r="26" spans="1:10" ht="19.5" customHeight="1" x14ac:dyDescent="0.25">
      <c r="A26" s="36">
        <v>15</v>
      </c>
      <c r="B26" s="7" t="s">
        <v>91</v>
      </c>
      <c r="C26" s="61">
        <v>0.79166666666666663</v>
      </c>
      <c r="D26" s="37" t="s">
        <v>92</v>
      </c>
      <c r="E26" s="75" t="s">
        <v>100</v>
      </c>
      <c r="F26" s="94">
        <v>3</v>
      </c>
      <c r="G26" s="11" t="s">
        <v>34</v>
      </c>
      <c r="H26" s="94">
        <v>0</v>
      </c>
      <c r="I26" s="76" t="s">
        <v>101</v>
      </c>
      <c r="J26" s="64" t="s">
        <v>102</v>
      </c>
    </row>
    <row r="27" spans="1:10" ht="19.5" customHeight="1" x14ac:dyDescent="0.25">
      <c r="A27" s="40">
        <v>16</v>
      </c>
      <c r="B27" s="7" t="s">
        <v>91</v>
      </c>
      <c r="C27" s="61">
        <v>0.91666666666666663</v>
      </c>
      <c r="D27" s="41" t="s">
        <v>96</v>
      </c>
      <c r="E27" s="77" t="s">
        <v>103</v>
      </c>
      <c r="F27" s="95">
        <v>0</v>
      </c>
      <c r="G27" s="11" t="s">
        <v>34</v>
      </c>
      <c r="H27" s="95">
        <v>1</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3</v>
      </c>
      <c r="G29" s="11" t="s">
        <v>34</v>
      </c>
      <c r="H29" s="96">
        <v>1</v>
      </c>
      <c r="I29" s="80" t="s">
        <v>109</v>
      </c>
      <c r="J29" s="64" t="s">
        <v>67</v>
      </c>
    </row>
    <row r="30" spans="1:10" ht="19.5" customHeight="1" x14ac:dyDescent="0.25">
      <c r="A30" s="44">
        <v>18</v>
      </c>
      <c r="B30" s="7" t="s">
        <v>106</v>
      </c>
      <c r="C30" s="61">
        <v>0.79166666666666663</v>
      </c>
      <c r="D30" s="45" t="s">
        <v>107</v>
      </c>
      <c r="E30" s="79" t="s">
        <v>110</v>
      </c>
      <c r="F30" s="96">
        <v>0</v>
      </c>
      <c r="G30" s="11" t="s">
        <v>34</v>
      </c>
      <c r="H30" s="96">
        <v>2</v>
      </c>
      <c r="I30" s="80" t="s">
        <v>111</v>
      </c>
      <c r="J30" s="64" t="s">
        <v>64</v>
      </c>
    </row>
    <row r="31" spans="1:10" ht="19.5" customHeight="1" x14ac:dyDescent="0.25">
      <c r="A31" s="48">
        <v>19</v>
      </c>
      <c r="B31" s="7" t="s">
        <v>106</v>
      </c>
      <c r="C31" s="61">
        <v>0.91666666666666663</v>
      </c>
      <c r="D31" s="49" t="s">
        <v>112</v>
      </c>
      <c r="E31" s="81" t="s">
        <v>113</v>
      </c>
      <c r="F31" s="97">
        <v>3</v>
      </c>
      <c r="G31" s="11" t="s">
        <v>34</v>
      </c>
      <c r="H31" s="97">
        <v>1</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1</v>
      </c>
      <c r="G33" s="11" t="s">
        <v>34</v>
      </c>
      <c r="H33" s="97">
        <v>0</v>
      </c>
      <c r="I33" s="82" t="s">
        <v>119</v>
      </c>
      <c r="J33" s="64" t="s">
        <v>70</v>
      </c>
    </row>
    <row r="34" spans="1:10" ht="19.5" customHeight="1" x14ac:dyDescent="0.25">
      <c r="A34" s="52">
        <v>21</v>
      </c>
      <c r="B34" s="7" t="s">
        <v>117</v>
      </c>
      <c r="C34" s="61">
        <v>0.58333333333333337</v>
      </c>
      <c r="D34" s="53" t="s">
        <v>120</v>
      </c>
      <c r="E34" s="83" t="s">
        <v>121</v>
      </c>
      <c r="F34" s="98">
        <v>2</v>
      </c>
      <c r="G34" s="11" t="s">
        <v>34</v>
      </c>
      <c r="H34" s="98">
        <v>1</v>
      </c>
      <c r="I34" s="84" t="s">
        <v>122</v>
      </c>
      <c r="J34" s="64" t="s">
        <v>79</v>
      </c>
    </row>
    <row r="35" spans="1:10" ht="19.5" customHeight="1" x14ac:dyDescent="0.25">
      <c r="A35" s="56">
        <v>22</v>
      </c>
      <c r="B35" s="7" t="s">
        <v>117</v>
      </c>
      <c r="C35" s="61">
        <v>0.70833333333333337</v>
      </c>
      <c r="D35" s="57" t="s">
        <v>123</v>
      </c>
      <c r="E35" s="85" t="s">
        <v>124</v>
      </c>
      <c r="F35" s="99">
        <v>2</v>
      </c>
      <c r="G35" s="11" t="s">
        <v>34</v>
      </c>
      <c r="H35" s="99">
        <v>0</v>
      </c>
      <c r="I35" s="86" t="s">
        <v>125</v>
      </c>
      <c r="J35" s="64" t="s">
        <v>83</v>
      </c>
    </row>
    <row r="36" spans="1:10" ht="19.5" customHeight="1" x14ac:dyDescent="0.25">
      <c r="A36" s="56">
        <v>23</v>
      </c>
      <c r="B36" s="7" t="s">
        <v>117</v>
      </c>
      <c r="C36" s="61">
        <v>0.83333333333333337</v>
      </c>
      <c r="D36" s="57" t="s">
        <v>123</v>
      </c>
      <c r="E36" s="85" t="s">
        <v>126</v>
      </c>
      <c r="F36" s="99">
        <v>0</v>
      </c>
      <c r="G36" s="11" t="s">
        <v>34</v>
      </c>
      <c r="H36" s="99">
        <v>0</v>
      </c>
      <c r="I36" s="86" t="s">
        <v>127</v>
      </c>
      <c r="J36" s="64" t="s">
        <v>54</v>
      </c>
    </row>
    <row r="37" spans="1:10" ht="19.5" customHeight="1" x14ac:dyDescent="0.25">
      <c r="A37" s="52">
        <v>24</v>
      </c>
      <c r="B37" s="7" t="s">
        <v>117</v>
      </c>
      <c r="C37" s="61">
        <v>0.95833333333333337</v>
      </c>
      <c r="D37" s="53" t="s">
        <v>120</v>
      </c>
      <c r="E37" s="83" t="s">
        <v>128</v>
      </c>
      <c r="F37" s="98">
        <v>0</v>
      </c>
      <c r="G37" s="11" t="s">
        <v>34</v>
      </c>
      <c r="H37" s="98">
        <v>2</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2</v>
      </c>
      <c r="G39" s="11" t="s">
        <v>34</v>
      </c>
      <c r="H39" s="88">
        <v>1</v>
      </c>
      <c r="I39" s="63" t="s">
        <v>44</v>
      </c>
      <c r="J39" s="64" t="s">
        <v>95</v>
      </c>
    </row>
    <row r="40" spans="1:10" ht="19.5" customHeight="1" x14ac:dyDescent="0.25">
      <c r="A40" s="16">
        <v>26</v>
      </c>
      <c r="B40" s="7" t="s">
        <v>131</v>
      </c>
      <c r="C40" s="61">
        <v>0.66666666666666663</v>
      </c>
      <c r="D40" s="17" t="s">
        <v>51</v>
      </c>
      <c r="E40" s="65" t="s">
        <v>69</v>
      </c>
      <c r="F40" s="89">
        <v>2</v>
      </c>
      <c r="G40" s="11" t="s">
        <v>34</v>
      </c>
      <c r="H40" s="89">
        <v>0</v>
      </c>
      <c r="I40" s="66" t="s">
        <v>53</v>
      </c>
      <c r="J40" s="64" t="s">
        <v>58</v>
      </c>
    </row>
    <row r="41" spans="1:10" ht="19.5" customHeight="1" x14ac:dyDescent="0.25">
      <c r="A41" s="16">
        <v>27</v>
      </c>
      <c r="B41" s="7" t="s">
        <v>131</v>
      </c>
      <c r="C41" s="61">
        <v>0.79166666666666663</v>
      </c>
      <c r="D41" s="17" t="s">
        <v>51</v>
      </c>
      <c r="E41" s="65" t="s">
        <v>52</v>
      </c>
      <c r="F41" s="89">
        <v>1</v>
      </c>
      <c r="G41" s="11" t="s">
        <v>34</v>
      </c>
      <c r="H41" s="89">
        <v>1</v>
      </c>
      <c r="I41" s="66" t="s">
        <v>68</v>
      </c>
      <c r="J41" s="64" t="s">
        <v>75</v>
      </c>
    </row>
    <row r="42" spans="1:10" ht="19.5" customHeight="1" x14ac:dyDescent="0.25">
      <c r="A42" s="6">
        <v>28</v>
      </c>
      <c r="B42" s="7" t="s">
        <v>131</v>
      </c>
      <c r="C42" s="61">
        <v>0.91666666666666663</v>
      </c>
      <c r="D42" s="8" t="s">
        <v>42</v>
      </c>
      <c r="E42" s="62" t="s">
        <v>43</v>
      </c>
      <c r="F42" s="88">
        <v>2</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1</v>
      </c>
      <c r="I44" s="68" t="s">
        <v>73</v>
      </c>
      <c r="J44" s="64" t="s">
        <v>99</v>
      </c>
    </row>
    <row r="45" spans="1:10" ht="19.5" customHeight="1" x14ac:dyDescent="0.25">
      <c r="A45" s="24">
        <v>30</v>
      </c>
      <c r="B45" s="7" t="s">
        <v>133</v>
      </c>
      <c r="C45" s="61">
        <v>0.79166666666666663</v>
      </c>
      <c r="D45" s="25" t="s">
        <v>61</v>
      </c>
      <c r="E45" s="69" t="s">
        <v>63</v>
      </c>
      <c r="F45" s="91">
        <v>0</v>
      </c>
      <c r="G45" s="11" t="s">
        <v>34</v>
      </c>
      <c r="H45" s="91">
        <v>1</v>
      </c>
      <c r="I45" s="70" t="s">
        <v>66</v>
      </c>
      <c r="J45" s="64" t="s">
        <v>64</v>
      </c>
    </row>
    <row r="46" spans="1:10" ht="19.5" customHeight="1" x14ac:dyDescent="0.25">
      <c r="A46" s="24">
        <v>31</v>
      </c>
      <c r="B46" s="7" t="s">
        <v>133</v>
      </c>
      <c r="C46" s="61">
        <v>0.89583333333333337</v>
      </c>
      <c r="D46" s="25" t="s">
        <v>61</v>
      </c>
      <c r="E46" s="69" t="s">
        <v>65</v>
      </c>
      <c r="F46" s="91">
        <v>3</v>
      </c>
      <c r="G46" s="11" t="s">
        <v>34</v>
      </c>
      <c r="H46" s="91">
        <v>1</v>
      </c>
      <c r="I46" s="70" t="s">
        <v>62</v>
      </c>
      <c r="J46" s="64" t="s">
        <v>86</v>
      </c>
    </row>
    <row r="47" spans="1:10" ht="19.5" customHeight="1" x14ac:dyDescent="0.25">
      <c r="A47" s="20">
        <v>32</v>
      </c>
      <c r="B47" s="7" t="s">
        <v>133</v>
      </c>
      <c r="C47" s="61">
        <v>0.99930555555555556</v>
      </c>
      <c r="D47" s="21" t="s">
        <v>55</v>
      </c>
      <c r="E47" s="67" t="s">
        <v>74</v>
      </c>
      <c r="F47" s="90">
        <v>1</v>
      </c>
      <c r="G47" s="11" t="s">
        <v>34</v>
      </c>
      <c r="H47" s="90">
        <v>2</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1</v>
      </c>
      <c r="G49" s="11" t="s">
        <v>34</v>
      </c>
      <c r="H49" s="93">
        <v>2</v>
      </c>
      <c r="I49" s="74" t="s">
        <v>87</v>
      </c>
      <c r="J49" s="64" t="s">
        <v>79</v>
      </c>
    </row>
    <row r="50" spans="1:10" ht="19.5" customHeight="1" x14ac:dyDescent="0.25">
      <c r="A50" s="28">
        <v>34</v>
      </c>
      <c r="B50" s="7" t="s">
        <v>135</v>
      </c>
      <c r="C50" s="61">
        <v>0.70833333333333337</v>
      </c>
      <c r="D50" s="29" t="s">
        <v>76</v>
      </c>
      <c r="E50" s="71" t="s">
        <v>77</v>
      </c>
      <c r="F50" s="92">
        <v>3</v>
      </c>
      <c r="G50" s="11" t="s">
        <v>34</v>
      </c>
      <c r="H50" s="92">
        <v>1</v>
      </c>
      <c r="I50" s="72" t="s">
        <v>84</v>
      </c>
      <c r="J50" s="64" t="s">
        <v>54</v>
      </c>
    </row>
    <row r="51" spans="1:10" ht="19.5" customHeight="1" x14ac:dyDescent="0.25">
      <c r="A51" s="28">
        <v>35</v>
      </c>
      <c r="B51" s="7" t="s">
        <v>135</v>
      </c>
      <c r="C51" s="61">
        <v>0.875</v>
      </c>
      <c r="D51" s="29" t="s">
        <v>76</v>
      </c>
      <c r="E51" s="71" t="s">
        <v>85</v>
      </c>
      <c r="F51" s="92">
        <v>2</v>
      </c>
      <c r="G51" s="11" t="s">
        <v>34</v>
      </c>
      <c r="H51" s="92">
        <v>1</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0</v>
      </c>
      <c r="G53" s="11" t="s">
        <v>34</v>
      </c>
      <c r="H53" s="93">
        <v>1</v>
      </c>
      <c r="I53" s="74" t="s">
        <v>82</v>
      </c>
      <c r="J53" s="64" t="s">
        <v>89</v>
      </c>
    </row>
    <row r="54" spans="1:10" ht="19.5" customHeight="1" x14ac:dyDescent="0.25">
      <c r="A54" s="36">
        <v>37</v>
      </c>
      <c r="B54" s="7" t="s">
        <v>137</v>
      </c>
      <c r="C54" s="61">
        <v>0.54166666666666663</v>
      </c>
      <c r="D54" s="37" t="s">
        <v>92</v>
      </c>
      <c r="E54" s="75" t="s">
        <v>93</v>
      </c>
      <c r="F54" s="94">
        <v>1</v>
      </c>
      <c r="G54" s="11" t="s">
        <v>34</v>
      </c>
      <c r="H54" s="94">
        <v>0</v>
      </c>
      <c r="I54" s="76" t="s">
        <v>100</v>
      </c>
      <c r="J54" s="64" t="s">
        <v>95</v>
      </c>
    </row>
    <row r="55" spans="1:10" ht="19.5" customHeight="1" x14ac:dyDescent="0.25">
      <c r="A55" s="40">
        <v>38</v>
      </c>
      <c r="B55" s="7" t="s">
        <v>137</v>
      </c>
      <c r="C55" s="61">
        <v>0.66666666666666663</v>
      </c>
      <c r="D55" s="41" t="s">
        <v>96</v>
      </c>
      <c r="E55" s="77" t="s">
        <v>97</v>
      </c>
      <c r="F55" s="95">
        <v>2</v>
      </c>
      <c r="G55" s="11" t="s">
        <v>34</v>
      </c>
      <c r="H55" s="95">
        <v>1</v>
      </c>
      <c r="I55" s="78" t="s">
        <v>103</v>
      </c>
      <c r="J55" s="64" t="s">
        <v>58</v>
      </c>
    </row>
    <row r="56" spans="1:10" ht="19.5" customHeight="1" x14ac:dyDescent="0.25">
      <c r="A56" s="36">
        <v>39</v>
      </c>
      <c r="B56" s="7" t="s">
        <v>137</v>
      </c>
      <c r="C56" s="61">
        <v>0.79166666666666663</v>
      </c>
      <c r="D56" s="37" t="s">
        <v>92</v>
      </c>
      <c r="E56" s="75" t="s">
        <v>101</v>
      </c>
      <c r="F56" s="94">
        <v>1</v>
      </c>
      <c r="G56" s="11" t="s">
        <v>34</v>
      </c>
      <c r="H56" s="94">
        <v>1</v>
      </c>
      <c r="I56" s="76" t="s">
        <v>94</v>
      </c>
      <c r="J56" s="64" t="s">
        <v>102</v>
      </c>
    </row>
    <row r="57" spans="1:10" ht="19.5" customHeight="1" x14ac:dyDescent="0.25">
      <c r="A57" s="40">
        <v>40</v>
      </c>
      <c r="B57" s="7" t="s">
        <v>137</v>
      </c>
      <c r="C57" s="61">
        <v>0.91666666666666663</v>
      </c>
      <c r="D57" s="41" t="s">
        <v>96</v>
      </c>
      <c r="E57" s="77" t="s">
        <v>104</v>
      </c>
      <c r="F57" s="95">
        <v>2</v>
      </c>
      <c r="G57" s="11" t="s">
        <v>34</v>
      </c>
      <c r="H57" s="95">
        <v>0</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4</v>
      </c>
      <c r="G59" s="11" t="s">
        <v>34</v>
      </c>
      <c r="H59" s="97">
        <v>1</v>
      </c>
      <c r="I59" s="82" t="s">
        <v>118</v>
      </c>
      <c r="J59" s="64" t="s">
        <v>83</v>
      </c>
    </row>
    <row r="60" spans="1:10" ht="19.5" customHeight="1" x14ac:dyDescent="0.25">
      <c r="A60" s="44">
        <v>42</v>
      </c>
      <c r="B60" s="7" t="s">
        <v>139</v>
      </c>
      <c r="C60" s="61">
        <v>0.75</v>
      </c>
      <c r="D60" s="45" t="s">
        <v>107</v>
      </c>
      <c r="E60" s="79" t="s">
        <v>108</v>
      </c>
      <c r="F60" s="96">
        <v>2</v>
      </c>
      <c r="G60" s="11" t="s">
        <v>34</v>
      </c>
      <c r="H60" s="96">
        <v>1</v>
      </c>
      <c r="I60" s="80" t="s">
        <v>110</v>
      </c>
      <c r="J60" s="64" t="s">
        <v>86</v>
      </c>
    </row>
    <row r="61" spans="1:10" ht="19.5" customHeight="1" x14ac:dyDescent="0.25">
      <c r="A61" s="44">
        <v>43</v>
      </c>
      <c r="B61" s="7" t="s">
        <v>139</v>
      </c>
      <c r="C61" s="61">
        <v>0.875</v>
      </c>
      <c r="D61" s="45" t="s">
        <v>107</v>
      </c>
      <c r="E61" s="79" t="s">
        <v>111</v>
      </c>
      <c r="F61" s="96">
        <v>2</v>
      </c>
      <c r="G61" s="11" t="s">
        <v>34</v>
      </c>
      <c r="H61" s="96">
        <v>1</v>
      </c>
      <c r="I61" s="80" t="s">
        <v>109</v>
      </c>
      <c r="J61" s="64" t="s">
        <v>67</v>
      </c>
    </row>
    <row r="62" spans="1:10" ht="19.5" customHeight="1" x14ac:dyDescent="0.25">
      <c r="A62" s="48">
        <v>44</v>
      </c>
      <c r="B62" s="7" t="s">
        <v>139</v>
      </c>
      <c r="C62" s="61">
        <v>0.99930555555555556</v>
      </c>
      <c r="D62" s="49" t="s">
        <v>112</v>
      </c>
      <c r="E62" s="81" t="s">
        <v>119</v>
      </c>
      <c r="F62" s="97">
        <v>1</v>
      </c>
      <c r="G62" s="11" t="s">
        <v>34</v>
      </c>
      <c r="H62" s="97">
        <v>2</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2</v>
      </c>
      <c r="G64" s="11" t="s">
        <v>34</v>
      </c>
      <c r="H64" s="98">
        <v>1</v>
      </c>
      <c r="I64" s="84" t="s">
        <v>128</v>
      </c>
      <c r="J64" s="64" t="s">
        <v>79</v>
      </c>
    </row>
    <row r="65" spans="1:10" ht="19.5" customHeight="1" x14ac:dyDescent="0.25">
      <c r="A65" s="56">
        <v>46</v>
      </c>
      <c r="B65" s="7" t="s">
        <v>141</v>
      </c>
      <c r="C65" s="61">
        <v>0.70833333333333337</v>
      </c>
      <c r="D65" s="57" t="s">
        <v>123</v>
      </c>
      <c r="E65" s="85" t="s">
        <v>124</v>
      </c>
      <c r="F65" s="99">
        <v>2</v>
      </c>
      <c r="G65" s="11" t="s">
        <v>34</v>
      </c>
      <c r="H65" s="99">
        <v>0</v>
      </c>
      <c r="I65" s="86" t="s">
        <v>126</v>
      </c>
      <c r="J65" s="64" t="s">
        <v>64</v>
      </c>
    </row>
    <row r="66" spans="1:10" ht="19.5" customHeight="1" x14ac:dyDescent="0.25">
      <c r="A66" s="56">
        <v>47</v>
      </c>
      <c r="B66" s="7" t="s">
        <v>141</v>
      </c>
      <c r="C66" s="61">
        <v>0.83333333333333337</v>
      </c>
      <c r="D66" s="57" t="s">
        <v>123</v>
      </c>
      <c r="E66" s="85" t="s">
        <v>127</v>
      </c>
      <c r="F66" s="99">
        <v>0</v>
      </c>
      <c r="G66" s="11" t="s">
        <v>34</v>
      </c>
      <c r="H66" s="99">
        <v>1</v>
      </c>
      <c r="I66" s="86" t="s">
        <v>125</v>
      </c>
      <c r="J66" s="64" t="s">
        <v>54</v>
      </c>
    </row>
    <row r="67" spans="1:10" ht="19.5" customHeight="1" x14ac:dyDescent="0.25">
      <c r="A67" s="52">
        <v>48</v>
      </c>
      <c r="B67" s="7" t="s">
        <v>141</v>
      </c>
      <c r="C67" s="61">
        <v>0.95833333333333337</v>
      </c>
      <c r="D67" s="53" t="s">
        <v>120</v>
      </c>
      <c r="E67" s="83" t="s">
        <v>129</v>
      </c>
      <c r="F67" s="98">
        <v>3</v>
      </c>
      <c r="G67" s="11" t="s">
        <v>34</v>
      </c>
      <c r="H67" s="98">
        <v>1</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c r="G69" s="11" t="s">
        <v>34</v>
      </c>
      <c r="H69" s="89"/>
      <c r="I69" s="66" t="s">
        <v>52</v>
      </c>
      <c r="J69" s="64" t="s">
        <v>75</v>
      </c>
    </row>
    <row r="70" spans="1:10" ht="19.5" customHeight="1" x14ac:dyDescent="0.25">
      <c r="A70" s="16">
        <v>50</v>
      </c>
      <c r="B70" s="7" t="s">
        <v>143</v>
      </c>
      <c r="C70" s="61">
        <v>0.66666666666666663</v>
      </c>
      <c r="D70" s="17" t="s">
        <v>51</v>
      </c>
      <c r="E70" s="65" t="s">
        <v>53</v>
      </c>
      <c r="F70" s="89"/>
      <c r="G70" s="11" t="s">
        <v>34</v>
      </c>
      <c r="H70" s="89"/>
      <c r="I70" s="66" t="s">
        <v>68</v>
      </c>
      <c r="J70" s="64" t="s">
        <v>99</v>
      </c>
    </row>
    <row r="71" spans="1:10" ht="19.5" customHeight="1" x14ac:dyDescent="0.25">
      <c r="A71" s="24">
        <v>51</v>
      </c>
      <c r="B71" s="7" t="s">
        <v>143</v>
      </c>
      <c r="C71" s="61">
        <v>0.79166666666666663</v>
      </c>
      <c r="D71" s="25" t="s">
        <v>61</v>
      </c>
      <c r="E71" s="69" t="s">
        <v>63</v>
      </c>
      <c r="F71" s="91"/>
      <c r="G71" s="11" t="s">
        <v>34</v>
      </c>
      <c r="H71" s="91"/>
      <c r="I71" s="70" t="s">
        <v>65</v>
      </c>
      <c r="J71" s="64" t="s">
        <v>102</v>
      </c>
    </row>
    <row r="72" spans="1:10" ht="19.5" customHeight="1" x14ac:dyDescent="0.25">
      <c r="A72" s="24">
        <v>52</v>
      </c>
      <c r="B72" s="7" t="s">
        <v>143</v>
      </c>
      <c r="C72" s="61">
        <v>0.79166666666666663</v>
      </c>
      <c r="D72" s="25" t="s">
        <v>61</v>
      </c>
      <c r="E72" s="69" t="s">
        <v>66</v>
      </c>
      <c r="F72" s="91"/>
      <c r="G72" s="11" t="s">
        <v>34</v>
      </c>
      <c r="H72" s="91"/>
      <c r="I72" s="70" t="s">
        <v>62</v>
      </c>
      <c r="J72" s="64" t="s">
        <v>95</v>
      </c>
    </row>
    <row r="73" spans="1:10" ht="19.5" customHeight="1" x14ac:dyDescent="0.25">
      <c r="A73" s="6">
        <v>53</v>
      </c>
      <c r="B73" s="7" t="s">
        <v>143</v>
      </c>
      <c r="C73" s="61">
        <v>0.91666666666666663</v>
      </c>
      <c r="D73" s="8" t="s">
        <v>42</v>
      </c>
      <c r="E73" s="62" t="s">
        <v>47</v>
      </c>
      <c r="F73" s="88"/>
      <c r="G73" s="11" t="s">
        <v>34</v>
      </c>
      <c r="H73" s="88"/>
      <c r="I73" s="63" t="s">
        <v>43</v>
      </c>
      <c r="J73" s="64" t="s">
        <v>45</v>
      </c>
    </row>
    <row r="74" spans="1:10" ht="19.5" customHeight="1" x14ac:dyDescent="0.25">
      <c r="A74" s="6">
        <v>54</v>
      </c>
      <c r="B74" s="7" t="s">
        <v>143</v>
      </c>
      <c r="C74" s="61">
        <v>0.91666666666666663</v>
      </c>
      <c r="D74" s="8" t="s">
        <v>42</v>
      </c>
      <c r="E74" s="62" t="s">
        <v>44</v>
      </c>
      <c r="F74" s="88"/>
      <c r="G74" s="11" t="s">
        <v>34</v>
      </c>
      <c r="H74" s="88"/>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c r="G76" s="11" t="s">
        <v>34</v>
      </c>
      <c r="H76" s="92"/>
      <c r="I76" s="72" t="s">
        <v>84</v>
      </c>
      <c r="J76" s="64" t="s">
        <v>86</v>
      </c>
    </row>
    <row r="77" spans="1:10" ht="19.5" customHeight="1" x14ac:dyDescent="0.25">
      <c r="A77" s="28">
        <v>56</v>
      </c>
      <c r="B77" s="7" t="s">
        <v>145</v>
      </c>
      <c r="C77" s="61">
        <v>0.70833333333333337</v>
      </c>
      <c r="D77" s="29" t="s">
        <v>76</v>
      </c>
      <c r="E77" s="71" t="s">
        <v>85</v>
      </c>
      <c r="F77" s="92"/>
      <c r="G77" s="11" t="s">
        <v>34</v>
      </c>
      <c r="H77" s="92"/>
      <c r="I77" s="72" t="s">
        <v>77</v>
      </c>
      <c r="J77" s="64" t="s">
        <v>67</v>
      </c>
    </row>
    <row r="78" spans="1:10" ht="19.5" customHeight="1" x14ac:dyDescent="0.25">
      <c r="A78" s="32">
        <v>57</v>
      </c>
      <c r="B78" s="7" t="s">
        <v>145</v>
      </c>
      <c r="C78" s="61">
        <v>0.83333333333333337</v>
      </c>
      <c r="D78" s="33" t="s">
        <v>80</v>
      </c>
      <c r="E78" s="73" t="s">
        <v>82</v>
      </c>
      <c r="F78" s="93"/>
      <c r="G78" s="11" t="s">
        <v>34</v>
      </c>
      <c r="H78" s="93"/>
      <c r="I78" s="74" t="s">
        <v>87</v>
      </c>
      <c r="J78" s="64" t="s">
        <v>83</v>
      </c>
    </row>
    <row r="79" spans="1:10" ht="19.5" customHeight="1" x14ac:dyDescent="0.25">
      <c r="A79" s="32">
        <v>58</v>
      </c>
      <c r="B79" s="7" t="s">
        <v>145</v>
      </c>
      <c r="C79" s="61">
        <v>0.83333333333333337</v>
      </c>
      <c r="D79" s="33" t="s">
        <v>80</v>
      </c>
      <c r="E79" s="73" t="s">
        <v>88</v>
      </c>
      <c r="F79" s="93"/>
      <c r="G79" s="11" t="s">
        <v>34</v>
      </c>
      <c r="H79" s="93"/>
      <c r="I79" s="74" t="s">
        <v>81</v>
      </c>
      <c r="J79" s="64" t="s">
        <v>115</v>
      </c>
    </row>
    <row r="80" spans="1:10" ht="19.5" customHeight="1" x14ac:dyDescent="0.25">
      <c r="A80" s="20">
        <v>59</v>
      </c>
      <c r="B80" s="7" t="s">
        <v>145</v>
      </c>
      <c r="C80" s="61">
        <v>0.95833333333333337</v>
      </c>
      <c r="D80" s="21" t="s">
        <v>55</v>
      </c>
      <c r="E80" s="67" t="s">
        <v>74</v>
      </c>
      <c r="F80" s="90"/>
      <c r="G80" s="11" t="s">
        <v>34</v>
      </c>
      <c r="H80" s="90"/>
      <c r="I80" s="68" t="s">
        <v>56</v>
      </c>
      <c r="J80" s="64" t="s">
        <v>58</v>
      </c>
    </row>
    <row r="81" spans="1:10" ht="19.5" customHeight="1" x14ac:dyDescent="0.25">
      <c r="A81" s="20">
        <v>60</v>
      </c>
      <c r="B81" s="7" t="s">
        <v>145</v>
      </c>
      <c r="C81" s="61">
        <v>0.95833333333333337</v>
      </c>
      <c r="D81" s="21" t="s">
        <v>55</v>
      </c>
      <c r="E81" s="67" t="s">
        <v>57</v>
      </c>
      <c r="F81" s="90"/>
      <c r="G81" s="11" t="s">
        <v>34</v>
      </c>
      <c r="H81" s="90"/>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c r="G83" s="11" t="s">
        <v>34</v>
      </c>
      <c r="H83" s="96"/>
      <c r="I83" s="80" t="s">
        <v>108</v>
      </c>
      <c r="J83" s="64" t="s">
        <v>64</v>
      </c>
    </row>
    <row r="84" spans="1:10" ht="19.5" customHeight="1" x14ac:dyDescent="0.25">
      <c r="A84" s="44">
        <v>62</v>
      </c>
      <c r="B84" s="7" t="s">
        <v>147</v>
      </c>
      <c r="C84" s="61">
        <v>0.66666666666666663</v>
      </c>
      <c r="D84" s="45" t="s">
        <v>107</v>
      </c>
      <c r="E84" s="79" t="s">
        <v>109</v>
      </c>
      <c r="F84" s="96"/>
      <c r="G84" s="11" t="s">
        <v>34</v>
      </c>
      <c r="H84" s="96"/>
      <c r="I84" s="80" t="s">
        <v>110</v>
      </c>
      <c r="J84" s="64" t="s">
        <v>54</v>
      </c>
    </row>
    <row r="85" spans="1:10" ht="19.5" customHeight="1" x14ac:dyDescent="0.25">
      <c r="A85" s="36">
        <v>63</v>
      </c>
      <c r="B85" s="7" t="s">
        <v>147</v>
      </c>
      <c r="C85" s="61">
        <v>0.875</v>
      </c>
      <c r="D85" s="37" t="s">
        <v>92</v>
      </c>
      <c r="E85" s="75" t="s">
        <v>94</v>
      </c>
      <c r="F85" s="94"/>
      <c r="G85" s="11" t="s">
        <v>34</v>
      </c>
      <c r="H85" s="94"/>
      <c r="I85" s="76" t="s">
        <v>100</v>
      </c>
      <c r="J85" s="64" t="s">
        <v>79</v>
      </c>
    </row>
    <row r="86" spans="1:10" ht="19.5" customHeight="1" x14ac:dyDescent="0.25">
      <c r="A86" s="36">
        <v>64</v>
      </c>
      <c r="B86" s="7" t="s">
        <v>147</v>
      </c>
      <c r="C86" s="61">
        <v>0.875</v>
      </c>
      <c r="D86" s="37" t="s">
        <v>92</v>
      </c>
      <c r="E86" s="75" t="s">
        <v>101</v>
      </c>
      <c r="F86" s="94"/>
      <c r="G86" s="11" t="s">
        <v>34</v>
      </c>
      <c r="H86" s="94"/>
      <c r="I86" s="76" t="s">
        <v>93</v>
      </c>
      <c r="J86" s="64" t="s">
        <v>48</v>
      </c>
    </row>
    <row r="87" spans="1:10" ht="19.5" customHeight="1" x14ac:dyDescent="0.25">
      <c r="A87" s="40">
        <v>65</v>
      </c>
      <c r="B87" s="7" t="s">
        <v>147</v>
      </c>
      <c r="C87" s="61">
        <v>0.99930555555555556</v>
      </c>
      <c r="D87" s="41" t="s">
        <v>96</v>
      </c>
      <c r="E87" s="77" t="s">
        <v>98</v>
      </c>
      <c r="F87" s="95"/>
      <c r="G87" s="11" t="s">
        <v>34</v>
      </c>
      <c r="H87" s="95"/>
      <c r="I87" s="78" t="s">
        <v>103</v>
      </c>
      <c r="J87" s="64" t="s">
        <v>99</v>
      </c>
    </row>
    <row r="88" spans="1:10" ht="19.5" customHeight="1" x14ac:dyDescent="0.25">
      <c r="A88" s="40">
        <v>66</v>
      </c>
      <c r="B88" s="7" t="s">
        <v>147</v>
      </c>
      <c r="C88" s="61">
        <v>0.99930555555555556</v>
      </c>
      <c r="D88" s="41" t="s">
        <v>96</v>
      </c>
      <c r="E88" s="77" t="s">
        <v>104</v>
      </c>
      <c r="F88" s="95"/>
      <c r="G88" s="11" t="s">
        <v>34</v>
      </c>
      <c r="H88" s="95"/>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c r="G90" s="11" t="s">
        <v>34</v>
      </c>
      <c r="H90" s="99"/>
      <c r="I90" s="86" t="s">
        <v>124</v>
      </c>
      <c r="J90" s="64" t="s">
        <v>67</v>
      </c>
    </row>
    <row r="91" spans="1:10" ht="19.5" customHeight="1" x14ac:dyDescent="0.25">
      <c r="A91" s="56">
        <v>68</v>
      </c>
      <c r="B91" s="7" t="s">
        <v>149</v>
      </c>
      <c r="C91" s="61">
        <v>0.75</v>
      </c>
      <c r="D91" s="57" t="s">
        <v>123</v>
      </c>
      <c r="E91" s="85" t="s">
        <v>125</v>
      </c>
      <c r="F91" s="99"/>
      <c r="G91" s="11" t="s">
        <v>34</v>
      </c>
      <c r="H91" s="99"/>
      <c r="I91" s="86" t="s">
        <v>126</v>
      </c>
      <c r="J91" s="64" t="s">
        <v>86</v>
      </c>
    </row>
    <row r="92" spans="1:10" ht="19.5" customHeight="1" x14ac:dyDescent="0.25">
      <c r="A92" s="52">
        <v>69</v>
      </c>
      <c r="B92" s="7" t="s">
        <v>149</v>
      </c>
      <c r="C92" s="61">
        <v>0.85416666666666663</v>
      </c>
      <c r="D92" s="53" t="s">
        <v>120</v>
      </c>
      <c r="E92" s="83" t="s">
        <v>129</v>
      </c>
      <c r="F92" s="98"/>
      <c r="G92" s="11" t="s">
        <v>34</v>
      </c>
      <c r="H92" s="98"/>
      <c r="I92" s="84" t="s">
        <v>121</v>
      </c>
      <c r="J92" s="64" t="s">
        <v>102</v>
      </c>
    </row>
    <row r="93" spans="1:10" ht="19.5" customHeight="1" x14ac:dyDescent="0.25">
      <c r="A93" s="52">
        <v>70</v>
      </c>
      <c r="B93" s="7" t="s">
        <v>149</v>
      </c>
      <c r="C93" s="61">
        <v>0.85416666666666663</v>
      </c>
      <c r="D93" s="53" t="s">
        <v>120</v>
      </c>
      <c r="E93" s="83" t="s">
        <v>122</v>
      </c>
      <c r="F93" s="98"/>
      <c r="G93" s="11" t="s">
        <v>34</v>
      </c>
      <c r="H93" s="98"/>
      <c r="I93" s="84" t="s">
        <v>128</v>
      </c>
      <c r="J93" s="64" t="s">
        <v>95</v>
      </c>
    </row>
    <row r="94" spans="1:10" ht="19.5" customHeight="1" x14ac:dyDescent="0.25">
      <c r="A94" s="48">
        <v>71</v>
      </c>
      <c r="B94" s="7" t="s">
        <v>149</v>
      </c>
      <c r="C94" s="61">
        <v>0.95833333333333337</v>
      </c>
      <c r="D94" s="49" t="s">
        <v>112</v>
      </c>
      <c r="E94" s="81" t="s">
        <v>114</v>
      </c>
      <c r="F94" s="97"/>
      <c r="G94" s="11" t="s">
        <v>34</v>
      </c>
      <c r="H94" s="97"/>
      <c r="I94" s="82" t="s">
        <v>118</v>
      </c>
      <c r="J94" s="64" t="s">
        <v>115</v>
      </c>
    </row>
    <row r="95" spans="1:10" ht="19.5" customHeight="1" x14ac:dyDescent="0.25">
      <c r="A95" s="48">
        <v>72</v>
      </c>
      <c r="B95" s="7" t="s">
        <v>149</v>
      </c>
      <c r="C95" s="61">
        <v>0.95833333333333337</v>
      </c>
      <c r="D95" s="49" t="s">
        <v>112</v>
      </c>
      <c r="E95" s="81" t="s">
        <v>119</v>
      </c>
      <c r="F95" s="97"/>
      <c r="G95" s="11" t="s">
        <v>34</v>
      </c>
      <c r="H95" s="97"/>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27"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26"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8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J1000"/>
  <sheetViews>
    <sheetView topLeftCell="A88" zoomScaleNormal="100" workbookViewId="0">
      <selection activeCell="F96" sqref="F96"/>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11</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2</v>
      </c>
      <c r="G8" s="11" t="s">
        <v>34</v>
      </c>
      <c r="H8" s="88">
        <v>0</v>
      </c>
      <c r="I8" s="63" t="s">
        <v>44</v>
      </c>
      <c r="J8" s="64" t="s">
        <v>45</v>
      </c>
    </row>
    <row r="9" spans="1:10" ht="19.5" customHeight="1" x14ac:dyDescent="0.25">
      <c r="A9" s="6">
        <v>2</v>
      </c>
      <c r="B9" s="7" t="s">
        <v>41</v>
      </c>
      <c r="C9" s="61">
        <v>0.95833333333333337</v>
      </c>
      <c r="D9" s="8" t="s">
        <v>42</v>
      </c>
      <c r="E9" s="62" t="s">
        <v>46</v>
      </c>
      <c r="F9" s="88">
        <v>0</v>
      </c>
      <c r="G9" s="11" t="s">
        <v>34</v>
      </c>
      <c r="H9" s="88">
        <v>1</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1</v>
      </c>
      <c r="G11" s="11" t="s">
        <v>34</v>
      </c>
      <c r="H11" s="89">
        <v>1</v>
      </c>
      <c r="I11" s="66" t="s">
        <v>53</v>
      </c>
      <c r="J11" s="64" t="s">
        <v>54</v>
      </c>
    </row>
    <row r="12" spans="1:10" ht="19.5" customHeight="1" x14ac:dyDescent="0.25">
      <c r="A12" s="20">
        <v>4</v>
      </c>
      <c r="B12" s="7" t="s">
        <v>50</v>
      </c>
      <c r="C12" s="61">
        <v>0.66666666666666663</v>
      </c>
      <c r="D12" s="21" t="s">
        <v>55</v>
      </c>
      <c r="E12" s="67" t="s">
        <v>56</v>
      </c>
      <c r="F12" s="90">
        <v>1</v>
      </c>
      <c r="G12" s="11" t="s">
        <v>34</v>
      </c>
      <c r="H12" s="90">
        <v>2</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0</v>
      </c>
      <c r="G14" s="11" t="s">
        <v>34</v>
      </c>
      <c r="H14" s="91">
        <v>2</v>
      </c>
      <c r="I14" s="70" t="s">
        <v>63</v>
      </c>
      <c r="J14" s="64" t="s">
        <v>64</v>
      </c>
    </row>
    <row r="15" spans="1:10" ht="19.5" customHeight="1" x14ac:dyDescent="0.25">
      <c r="A15" s="24">
        <v>6</v>
      </c>
      <c r="B15" s="7" t="s">
        <v>60</v>
      </c>
      <c r="C15" s="61">
        <v>0.79166666666666663</v>
      </c>
      <c r="D15" s="25" t="s">
        <v>61</v>
      </c>
      <c r="E15" s="69" t="s">
        <v>65</v>
      </c>
      <c r="F15" s="91">
        <v>4</v>
      </c>
      <c r="G15" s="11" t="s">
        <v>34</v>
      </c>
      <c r="H15" s="91">
        <v>0</v>
      </c>
      <c r="I15" s="70" t="s">
        <v>66</v>
      </c>
      <c r="J15" s="64" t="s">
        <v>67</v>
      </c>
    </row>
    <row r="16" spans="1:10" ht="19.5" customHeight="1" x14ac:dyDescent="0.25">
      <c r="A16" s="16">
        <v>7</v>
      </c>
      <c r="B16" s="7" t="s">
        <v>60</v>
      </c>
      <c r="C16" s="61">
        <v>0.66666666666666663</v>
      </c>
      <c r="D16" s="17" t="s">
        <v>51</v>
      </c>
      <c r="E16" s="65" t="s">
        <v>68</v>
      </c>
      <c r="F16" s="89">
        <v>1</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2</v>
      </c>
      <c r="G18" s="11" t="s">
        <v>34</v>
      </c>
      <c r="H18" s="90">
        <v>2</v>
      </c>
      <c r="I18" s="68" t="s">
        <v>74</v>
      </c>
      <c r="J18" s="64" t="s">
        <v>75</v>
      </c>
    </row>
    <row r="19" spans="1:10" ht="19.5" customHeight="1" x14ac:dyDescent="0.25">
      <c r="A19" s="28">
        <v>9</v>
      </c>
      <c r="B19" s="7" t="s">
        <v>72</v>
      </c>
      <c r="C19" s="61">
        <v>0.58333333333333337</v>
      </c>
      <c r="D19" s="29" t="s">
        <v>76</v>
      </c>
      <c r="E19" s="71" t="s">
        <v>77</v>
      </c>
      <c r="F19" s="92">
        <v>3</v>
      </c>
      <c r="G19" s="11" t="s">
        <v>34</v>
      </c>
      <c r="H19" s="92">
        <v>1</v>
      </c>
      <c r="I19" s="72" t="s">
        <v>78</v>
      </c>
      <c r="J19" s="64" t="s">
        <v>79</v>
      </c>
    </row>
    <row r="20" spans="1:10" ht="19.5" customHeight="1" x14ac:dyDescent="0.25">
      <c r="A20" s="32">
        <v>10</v>
      </c>
      <c r="B20" s="7" t="s">
        <v>72</v>
      </c>
      <c r="C20" s="61">
        <v>0.70833333333333337</v>
      </c>
      <c r="D20" s="33" t="s">
        <v>80</v>
      </c>
      <c r="E20" s="73" t="s">
        <v>81</v>
      </c>
      <c r="F20" s="93">
        <v>1</v>
      </c>
      <c r="G20" s="11" t="s">
        <v>34</v>
      </c>
      <c r="H20" s="93">
        <v>1</v>
      </c>
      <c r="I20" s="74" t="s">
        <v>82</v>
      </c>
      <c r="J20" s="64" t="s">
        <v>83</v>
      </c>
    </row>
    <row r="21" spans="1:10" ht="19.5" customHeight="1" x14ac:dyDescent="0.25">
      <c r="A21" s="28">
        <v>11</v>
      </c>
      <c r="B21" s="7" t="s">
        <v>72</v>
      </c>
      <c r="C21" s="61">
        <v>0.83333333333333337</v>
      </c>
      <c r="D21" s="29" t="s">
        <v>76</v>
      </c>
      <c r="E21" s="71" t="s">
        <v>84</v>
      </c>
      <c r="F21" s="92">
        <v>1</v>
      </c>
      <c r="G21" s="11" t="s">
        <v>34</v>
      </c>
      <c r="H21" s="92">
        <v>3</v>
      </c>
      <c r="I21" s="72" t="s">
        <v>85</v>
      </c>
      <c r="J21" s="64" t="s">
        <v>86</v>
      </c>
    </row>
    <row r="22" spans="1:10" ht="19.5" customHeight="1" x14ac:dyDescent="0.25">
      <c r="A22" s="32">
        <v>12</v>
      </c>
      <c r="B22" s="7" t="s">
        <v>72</v>
      </c>
      <c r="C22" s="61">
        <v>0.95833333333333337</v>
      </c>
      <c r="D22" s="33" t="s">
        <v>80</v>
      </c>
      <c r="E22" s="73" t="s">
        <v>87</v>
      </c>
      <c r="F22" s="93">
        <v>0</v>
      </c>
      <c r="G22" s="11" t="s">
        <v>34</v>
      </c>
      <c r="H22" s="93">
        <v>0</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3</v>
      </c>
      <c r="G24" s="11" t="s">
        <v>34</v>
      </c>
      <c r="H24" s="94">
        <v>0</v>
      </c>
      <c r="I24" s="76" t="s">
        <v>94</v>
      </c>
      <c r="J24" s="64" t="s">
        <v>95</v>
      </c>
    </row>
    <row r="25" spans="1:10" ht="19.5" customHeight="1" x14ac:dyDescent="0.25">
      <c r="A25" s="40">
        <v>14</v>
      </c>
      <c r="B25" s="7" t="s">
        <v>91</v>
      </c>
      <c r="C25" s="61">
        <v>0.66666666666666663</v>
      </c>
      <c r="D25" s="41" t="s">
        <v>96</v>
      </c>
      <c r="E25" s="77" t="s">
        <v>97</v>
      </c>
      <c r="F25" s="95">
        <v>2</v>
      </c>
      <c r="G25" s="11" t="s">
        <v>34</v>
      </c>
      <c r="H25" s="95">
        <v>0</v>
      </c>
      <c r="I25" s="78" t="s">
        <v>98</v>
      </c>
      <c r="J25" s="64" t="s">
        <v>99</v>
      </c>
    </row>
    <row r="26" spans="1:10" ht="19.5" customHeight="1" x14ac:dyDescent="0.25">
      <c r="A26" s="36">
        <v>15</v>
      </c>
      <c r="B26" s="7" t="s">
        <v>91</v>
      </c>
      <c r="C26" s="61">
        <v>0.79166666666666663</v>
      </c>
      <c r="D26" s="37" t="s">
        <v>92</v>
      </c>
      <c r="E26" s="75" t="s">
        <v>100</v>
      </c>
      <c r="F26" s="94">
        <v>0</v>
      </c>
      <c r="G26" s="11" t="s">
        <v>34</v>
      </c>
      <c r="H26" s="94">
        <v>2</v>
      </c>
      <c r="I26" s="76" t="s">
        <v>101</v>
      </c>
      <c r="J26" s="64" t="s">
        <v>102</v>
      </c>
    </row>
    <row r="27" spans="1:10" ht="19.5" customHeight="1" x14ac:dyDescent="0.25">
      <c r="A27" s="40">
        <v>16</v>
      </c>
      <c r="B27" s="7" t="s">
        <v>91</v>
      </c>
      <c r="C27" s="61">
        <v>0.91666666666666663</v>
      </c>
      <c r="D27" s="41" t="s">
        <v>96</v>
      </c>
      <c r="E27" s="77" t="s">
        <v>103</v>
      </c>
      <c r="F27" s="95">
        <v>1</v>
      </c>
      <c r="G27" s="11" t="s">
        <v>34</v>
      </c>
      <c r="H27" s="95">
        <v>1</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3</v>
      </c>
      <c r="G29" s="11" t="s">
        <v>34</v>
      </c>
      <c r="H29" s="96">
        <v>1</v>
      </c>
      <c r="I29" s="80" t="s">
        <v>109</v>
      </c>
      <c r="J29" s="64" t="s">
        <v>67</v>
      </c>
    </row>
    <row r="30" spans="1:10" ht="19.5" customHeight="1" x14ac:dyDescent="0.25">
      <c r="A30" s="44">
        <v>18</v>
      </c>
      <c r="B30" s="7" t="s">
        <v>106</v>
      </c>
      <c r="C30" s="61">
        <v>0.79166666666666663</v>
      </c>
      <c r="D30" s="45" t="s">
        <v>107</v>
      </c>
      <c r="E30" s="79" t="s">
        <v>110</v>
      </c>
      <c r="F30" s="96">
        <v>1</v>
      </c>
      <c r="G30" s="11" t="s">
        <v>34</v>
      </c>
      <c r="H30" s="96">
        <v>1</v>
      </c>
      <c r="I30" s="80" t="s">
        <v>111</v>
      </c>
      <c r="J30" s="64" t="s">
        <v>64</v>
      </c>
    </row>
    <row r="31" spans="1:10" ht="19.5" customHeight="1" x14ac:dyDescent="0.25">
      <c r="A31" s="48">
        <v>19</v>
      </c>
      <c r="B31" s="7" t="s">
        <v>106</v>
      </c>
      <c r="C31" s="61">
        <v>0.91666666666666663</v>
      </c>
      <c r="D31" s="49" t="s">
        <v>112</v>
      </c>
      <c r="E31" s="81" t="s">
        <v>113</v>
      </c>
      <c r="F31" s="97">
        <v>3</v>
      </c>
      <c r="G31" s="11" t="s">
        <v>34</v>
      </c>
      <c r="H31" s="97">
        <v>1</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c r="G33" s="11" t="s">
        <v>34</v>
      </c>
      <c r="H33" s="97"/>
      <c r="I33" s="82" t="s">
        <v>119</v>
      </c>
      <c r="J33" s="64" t="s">
        <v>70</v>
      </c>
    </row>
    <row r="34" spans="1:10" ht="19.5" customHeight="1" x14ac:dyDescent="0.25">
      <c r="A34" s="52">
        <v>21</v>
      </c>
      <c r="B34" s="7" t="s">
        <v>117</v>
      </c>
      <c r="C34" s="61">
        <v>0.58333333333333337</v>
      </c>
      <c r="D34" s="53" t="s">
        <v>120</v>
      </c>
      <c r="E34" s="83" t="s">
        <v>121</v>
      </c>
      <c r="F34" s="98"/>
      <c r="G34" s="11" t="s">
        <v>34</v>
      </c>
      <c r="H34" s="98"/>
      <c r="I34" s="84" t="s">
        <v>122</v>
      </c>
      <c r="J34" s="64" t="s">
        <v>79</v>
      </c>
    </row>
    <row r="35" spans="1:10" ht="19.5" customHeight="1" x14ac:dyDescent="0.25">
      <c r="A35" s="56">
        <v>22</v>
      </c>
      <c r="B35" s="7" t="s">
        <v>117</v>
      </c>
      <c r="C35" s="61">
        <v>0.70833333333333337</v>
      </c>
      <c r="D35" s="57" t="s">
        <v>123</v>
      </c>
      <c r="E35" s="85" t="s">
        <v>124</v>
      </c>
      <c r="F35" s="99">
        <v>2</v>
      </c>
      <c r="G35" s="11" t="s">
        <v>34</v>
      </c>
      <c r="H35" s="99">
        <v>2</v>
      </c>
      <c r="I35" s="86" t="s">
        <v>125</v>
      </c>
      <c r="J35" s="64" t="s">
        <v>83</v>
      </c>
    </row>
    <row r="36" spans="1:10" ht="19.5" customHeight="1" x14ac:dyDescent="0.25">
      <c r="A36" s="56">
        <v>23</v>
      </c>
      <c r="B36" s="7" t="s">
        <v>117</v>
      </c>
      <c r="C36" s="61">
        <v>0.83333333333333337</v>
      </c>
      <c r="D36" s="57" t="s">
        <v>123</v>
      </c>
      <c r="E36" s="85" t="s">
        <v>126</v>
      </c>
      <c r="F36" s="99">
        <v>1</v>
      </c>
      <c r="G36" s="11" t="s">
        <v>34</v>
      </c>
      <c r="H36" s="99">
        <v>1</v>
      </c>
      <c r="I36" s="86" t="s">
        <v>127</v>
      </c>
      <c r="J36" s="64" t="s">
        <v>54</v>
      </c>
    </row>
    <row r="37" spans="1:10" ht="19.5" customHeight="1" x14ac:dyDescent="0.25">
      <c r="A37" s="52">
        <v>24</v>
      </c>
      <c r="B37" s="7" t="s">
        <v>117</v>
      </c>
      <c r="C37" s="61">
        <v>0.95833333333333337</v>
      </c>
      <c r="D37" s="53" t="s">
        <v>120</v>
      </c>
      <c r="E37" s="83" t="s">
        <v>128</v>
      </c>
      <c r="F37" s="98">
        <v>1</v>
      </c>
      <c r="G37" s="11" t="s">
        <v>34</v>
      </c>
      <c r="H37" s="98">
        <v>2</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2</v>
      </c>
      <c r="G39" s="11" t="s">
        <v>34</v>
      </c>
      <c r="H39" s="88">
        <v>0</v>
      </c>
      <c r="I39" s="63" t="s">
        <v>44</v>
      </c>
      <c r="J39" s="64" t="s">
        <v>95</v>
      </c>
    </row>
    <row r="40" spans="1:10" ht="19.5" customHeight="1" x14ac:dyDescent="0.25">
      <c r="A40" s="16">
        <v>26</v>
      </c>
      <c r="B40" s="7" t="s">
        <v>131</v>
      </c>
      <c r="C40" s="61">
        <v>0.66666666666666663</v>
      </c>
      <c r="D40" s="17" t="s">
        <v>51</v>
      </c>
      <c r="E40" s="65" t="s">
        <v>69</v>
      </c>
      <c r="F40" s="89">
        <v>1</v>
      </c>
      <c r="G40" s="11" t="s">
        <v>34</v>
      </c>
      <c r="H40" s="89">
        <v>0</v>
      </c>
      <c r="I40" s="66" t="s">
        <v>53</v>
      </c>
      <c r="J40" s="64" t="s">
        <v>58</v>
      </c>
    </row>
    <row r="41" spans="1:10" ht="19.5" customHeight="1" x14ac:dyDescent="0.25">
      <c r="A41" s="16">
        <v>27</v>
      </c>
      <c r="B41" s="7" t="s">
        <v>131</v>
      </c>
      <c r="C41" s="61">
        <v>0.79166666666666663</v>
      </c>
      <c r="D41" s="17" t="s">
        <v>51</v>
      </c>
      <c r="E41" s="65" t="s">
        <v>52</v>
      </c>
      <c r="F41" s="89">
        <v>1</v>
      </c>
      <c r="G41" s="11" t="s">
        <v>34</v>
      </c>
      <c r="H41" s="89">
        <v>1</v>
      </c>
      <c r="I41" s="66" t="s">
        <v>68</v>
      </c>
      <c r="J41" s="64" t="s">
        <v>75</v>
      </c>
    </row>
    <row r="42" spans="1:10" ht="19.5" customHeight="1" x14ac:dyDescent="0.25">
      <c r="A42" s="6">
        <v>28</v>
      </c>
      <c r="B42" s="7" t="s">
        <v>131</v>
      </c>
      <c r="C42" s="61">
        <v>0.91666666666666663</v>
      </c>
      <c r="D42" s="8" t="s">
        <v>42</v>
      </c>
      <c r="E42" s="62" t="s">
        <v>43</v>
      </c>
      <c r="F42" s="88">
        <v>2</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2</v>
      </c>
      <c r="I44" s="68" t="s">
        <v>73</v>
      </c>
      <c r="J44" s="64" t="s">
        <v>99</v>
      </c>
    </row>
    <row r="45" spans="1:10" ht="19.5" customHeight="1" x14ac:dyDescent="0.25">
      <c r="A45" s="24">
        <v>30</v>
      </c>
      <c r="B45" s="7" t="s">
        <v>133</v>
      </c>
      <c r="C45" s="61">
        <v>0.79166666666666663</v>
      </c>
      <c r="D45" s="25" t="s">
        <v>61</v>
      </c>
      <c r="E45" s="69" t="s">
        <v>63</v>
      </c>
      <c r="F45" s="91">
        <v>2</v>
      </c>
      <c r="G45" s="11" t="s">
        <v>34</v>
      </c>
      <c r="H45" s="91">
        <v>1</v>
      </c>
      <c r="I45" s="70" t="s">
        <v>66</v>
      </c>
      <c r="J45" s="64" t="s">
        <v>64</v>
      </c>
    </row>
    <row r="46" spans="1:10" ht="19.5" customHeight="1" x14ac:dyDescent="0.25">
      <c r="A46" s="24">
        <v>31</v>
      </c>
      <c r="B46" s="7" t="s">
        <v>133</v>
      </c>
      <c r="C46" s="61">
        <v>0.89583333333333337</v>
      </c>
      <c r="D46" s="25" t="s">
        <v>61</v>
      </c>
      <c r="E46" s="69" t="s">
        <v>65</v>
      </c>
      <c r="F46" s="91">
        <v>4</v>
      </c>
      <c r="G46" s="11" t="s">
        <v>34</v>
      </c>
      <c r="H46" s="91">
        <v>0</v>
      </c>
      <c r="I46" s="70" t="s">
        <v>62</v>
      </c>
      <c r="J46" s="64" t="s">
        <v>86</v>
      </c>
    </row>
    <row r="47" spans="1:10" ht="19.5" customHeight="1" x14ac:dyDescent="0.25">
      <c r="A47" s="20">
        <v>32</v>
      </c>
      <c r="B47" s="7" t="s">
        <v>133</v>
      </c>
      <c r="C47" s="61">
        <v>0.99930555555555556</v>
      </c>
      <c r="D47" s="21" t="s">
        <v>55</v>
      </c>
      <c r="E47" s="67" t="s">
        <v>74</v>
      </c>
      <c r="F47" s="90">
        <v>0</v>
      </c>
      <c r="G47" s="11" t="s">
        <v>34</v>
      </c>
      <c r="H47" s="90">
        <v>1</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1</v>
      </c>
      <c r="G49" s="11" t="s">
        <v>34</v>
      </c>
      <c r="H49" s="93">
        <v>1</v>
      </c>
      <c r="I49" s="74" t="s">
        <v>87</v>
      </c>
      <c r="J49" s="64" t="s">
        <v>79</v>
      </c>
    </row>
    <row r="50" spans="1:10" ht="19.5" customHeight="1" x14ac:dyDescent="0.25">
      <c r="A50" s="28">
        <v>34</v>
      </c>
      <c r="B50" s="7" t="s">
        <v>135</v>
      </c>
      <c r="C50" s="61">
        <v>0.70833333333333337</v>
      </c>
      <c r="D50" s="29" t="s">
        <v>76</v>
      </c>
      <c r="E50" s="71" t="s">
        <v>77</v>
      </c>
      <c r="F50" s="92">
        <v>3</v>
      </c>
      <c r="G50" s="11" t="s">
        <v>34</v>
      </c>
      <c r="H50" s="92">
        <v>1</v>
      </c>
      <c r="I50" s="72" t="s">
        <v>84</v>
      </c>
      <c r="J50" s="64" t="s">
        <v>54</v>
      </c>
    </row>
    <row r="51" spans="1:10" ht="19.5" customHeight="1" x14ac:dyDescent="0.25">
      <c r="A51" s="28">
        <v>35</v>
      </c>
      <c r="B51" s="7" t="s">
        <v>135</v>
      </c>
      <c r="C51" s="61">
        <v>0.875</v>
      </c>
      <c r="D51" s="29" t="s">
        <v>76</v>
      </c>
      <c r="E51" s="71" t="s">
        <v>85</v>
      </c>
      <c r="F51" s="92">
        <v>2</v>
      </c>
      <c r="G51" s="11" t="s">
        <v>34</v>
      </c>
      <c r="H51" s="92">
        <v>0</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0</v>
      </c>
      <c r="G53" s="11" t="s">
        <v>34</v>
      </c>
      <c r="H53" s="93">
        <v>2</v>
      </c>
      <c r="I53" s="74" t="s">
        <v>82</v>
      </c>
      <c r="J53" s="64" t="s">
        <v>89</v>
      </c>
    </row>
    <row r="54" spans="1:10" ht="19.5" customHeight="1" x14ac:dyDescent="0.25">
      <c r="A54" s="36">
        <v>37</v>
      </c>
      <c r="B54" s="7" t="s">
        <v>137</v>
      </c>
      <c r="C54" s="61">
        <v>0.54166666666666663</v>
      </c>
      <c r="D54" s="37" t="s">
        <v>92</v>
      </c>
      <c r="E54" s="75" t="s">
        <v>93</v>
      </c>
      <c r="F54" s="94">
        <v>2</v>
      </c>
      <c r="G54" s="11" t="s">
        <v>34</v>
      </c>
      <c r="H54" s="94">
        <v>1</v>
      </c>
      <c r="I54" s="76" t="s">
        <v>100</v>
      </c>
      <c r="J54" s="64" t="s">
        <v>95</v>
      </c>
    </row>
    <row r="55" spans="1:10" ht="19.5" customHeight="1" x14ac:dyDescent="0.25">
      <c r="A55" s="40">
        <v>38</v>
      </c>
      <c r="B55" s="7" t="s">
        <v>137</v>
      </c>
      <c r="C55" s="61">
        <v>0.66666666666666663</v>
      </c>
      <c r="D55" s="41" t="s">
        <v>96</v>
      </c>
      <c r="E55" s="77" t="s">
        <v>97</v>
      </c>
      <c r="F55" s="95">
        <v>2</v>
      </c>
      <c r="G55" s="11" t="s">
        <v>34</v>
      </c>
      <c r="H55" s="95">
        <v>2</v>
      </c>
      <c r="I55" s="78" t="s">
        <v>103</v>
      </c>
      <c r="J55" s="64" t="s">
        <v>58</v>
      </c>
    </row>
    <row r="56" spans="1:10" ht="19.5" customHeight="1" x14ac:dyDescent="0.25">
      <c r="A56" s="36">
        <v>39</v>
      </c>
      <c r="B56" s="7" t="s">
        <v>137</v>
      </c>
      <c r="C56" s="61">
        <v>0.79166666666666663</v>
      </c>
      <c r="D56" s="37" t="s">
        <v>92</v>
      </c>
      <c r="E56" s="75" t="s">
        <v>101</v>
      </c>
      <c r="F56" s="94">
        <v>2</v>
      </c>
      <c r="G56" s="11" t="s">
        <v>34</v>
      </c>
      <c r="H56" s="94">
        <v>0</v>
      </c>
      <c r="I56" s="76" t="s">
        <v>94</v>
      </c>
      <c r="J56" s="64" t="s">
        <v>102</v>
      </c>
    </row>
    <row r="57" spans="1:10" ht="19.5" customHeight="1" x14ac:dyDescent="0.25">
      <c r="A57" s="40">
        <v>40</v>
      </c>
      <c r="B57" s="7" t="s">
        <v>137</v>
      </c>
      <c r="C57" s="61">
        <v>0.91666666666666663</v>
      </c>
      <c r="D57" s="41" t="s">
        <v>96</v>
      </c>
      <c r="E57" s="77" t="s">
        <v>104</v>
      </c>
      <c r="F57" s="95">
        <v>2</v>
      </c>
      <c r="G57" s="11" t="s">
        <v>34</v>
      </c>
      <c r="H57" s="95">
        <v>1</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2</v>
      </c>
      <c r="G59" s="11" t="s">
        <v>34</v>
      </c>
      <c r="H59" s="97">
        <v>1</v>
      </c>
      <c r="I59" s="82" t="s">
        <v>118</v>
      </c>
      <c r="J59" s="64" t="s">
        <v>83</v>
      </c>
    </row>
    <row r="60" spans="1:10" ht="19.5" customHeight="1" x14ac:dyDescent="0.25">
      <c r="A60" s="44">
        <v>42</v>
      </c>
      <c r="B60" s="7" t="s">
        <v>139</v>
      </c>
      <c r="C60" s="61">
        <v>0.75</v>
      </c>
      <c r="D60" s="45" t="s">
        <v>107</v>
      </c>
      <c r="E60" s="79" t="s">
        <v>108</v>
      </c>
      <c r="F60" s="96">
        <v>3</v>
      </c>
      <c r="G60" s="11" t="s">
        <v>34</v>
      </c>
      <c r="H60" s="96">
        <v>0</v>
      </c>
      <c r="I60" s="80" t="s">
        <v>110</v>
      </c>
      <c r="J60" s="64" t="s">
        <v>86</v>
      </c>
    </row>
    <row r="61" spans="1:10" ht="19.5" customHeight="1" x14ac:dyDescent="0.25">
      <c r="A61" s="44">
        <v>43</v>
      </c>
      <c r="B61" s="7" t="s">
        <v>139</v>
      </c>
      <c r="C61" s="61">
        <v>0.875</v>
      </c>
      <c r="D61" s="45" t="s">
        <v>107</v>
      </c>
      <c r="E61" s="79" t="s">
        <v>111</v>
      </c>
      <c r="F61" s="96">
        <v>2</v>
      </c>
      <c r="G61" s="11" t="s">
        <v>34</v>
      </c>
      <c r="H61" s="96">
        <v>0</v>
      </c>
      <c r="I61" s="80" t="s">
        <v>109</v>
      </c>
      <c r="J61" s="64" t="s">
        <v>67</v>
      </c>
    </row>
    <row r="62" spans="1:10" ht="19.5" customHeight="1" x14ac:dyDescent="0.25">
      <c r="A62" s="48">
        <v>44</v>
      </c>
      <c r="B62" s="7" t="s">
        <v>139</v>
      </c>
      <c r="C62" s="61">
        <v>0.99930555555555556</v>
      </c>
      <c r="D62" s="49" t="s">
        <v>112</v>
      </c>
      <c r="E62" s="81" t="s">
        <v>119</v>
      </c>
      <c r="F62" s="97">
        <v>1</v>
      </c>
      <c r="G62" s="11" t="s">
        <v>34</v>
      </c>
      <c r="H62" s="97">
        <v>1</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3</v>
      </c>
      <c r="G64" s="11" t="s">
        <v>34</v>
      </c>
      <c r="H64" s="98">
        <v>0</v>
      </c>
      <c r="I64" s="84" t="s">
        <v>128</v>
      </c>
      <c r="J64" s="64" t="s">
        <v>79</v>
      </c>
    </row>
    <row r="65" spans="1:10" ht="19.5" customHeight="1" x14ac:dyDescent="0.25">
      <c r="A65" s="56">
        <v>46</v>
      </c>
      <c r="B65" s="7" t="s">
        <v>141</v>
      </c>
      <c r="C65" s="61">
        <v>0.70833333333333337</v>
      </c>
      <c r="D65" s="57" t="s">
        <v>123</v>
      </c>
      <c r="E65" s="85" t="s">
        <v>124</v>
      </c>
      <c r="F65" s="99">
        <v>2</v>
      </c>
      <c r="G65" s="11" t="s">
        <v>34</v>
      </c>
      <c r="H65" s="99">
        <v>0</v>
      </c>
      <c r="I65" s="86" t="s">
        <v>126</v>
      </c>
      <c r="J65" s="64" t="s">
        <v>64</v>
      </c>
    </row>
    <row r="66" spans="1:10" ht="19.5" customHeight="1" x14ac:dyDescent="0.25">
      <c r="A66" s="56">
        <v>47</v>
      </c>
      <c r="B66" s="7" t="s">
        <v>141</v>
      </c>
      <c r="C66" s="61">
        <v>0.83333333333333337</v>
      </c>
      <c r="D66" s="57" t="s">
        <v>123</v>
      </c>
      <c r="E66" s="85" t="s">
        <v>127</v>
      </c>
      <c r="F66" s="99">
        <v>0</v>
      </c>
      <c r="G66" s="11" t="s">
        <v>34</v>
      </c>
      <c r="H66" s="99">
        <v>2</v>
      </c>
      <c r="I66" s="86" t="s">
        <v>125</v>
      </c>
      <c r="J66" s="64" t="s">
        <v>54</v>
      </c>
    </row>
    <row r="67" spans="1:10" ht="19.5" customHeight="1" x14ac:dyDescent="0.25">
      <c r="A67" s="52">
        <v>48</v>
      </c>
      <c r="B67" s="7" t="s">
        <v>141</v>
      </c>
      <c r="C67" s="61">
        <v>0.95833333333333337</v>
      </c>
      <c r="D67" s="53" t="s">
        <v>120</v>
      </c>
      <c r="E67" s="83" t="s">
        <v>129</v>
      </c>
      <c r="F67" s="98">
        <v>2</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2</v>
      </c>
      <c r="G69" s="11" t="s">
        <v>34</v>
      </c>
      <c r="H69" s="89">
        <v>1</v>
      </c>
      <c r="I69" s="66" t="s">
        <v>52</v>
      </c>
      <c r="J69" s="64" t="s">
        <v>75</v>
      </c>
    </row>
    <row r="70" spans="1:10" ht="19.5" customHeight="1" x14ac:dyDescent="0.25">
      <c r="A70" s="16">
        <v>50</v>
      </c>
      <c r="B70" s="7" t="s">
        <v>143</v>
      </c>
      <c r="C70" s="61">
        <v>0.66666666666666663</v>
      </c>
      <c r="D70" s="17" t="s">
        <v>51</v>
      </c>
      <c r="E70" s="65" t="s">
        <v>53</v>
      </c>
      <c r="F70" s="89">
        <v>2</v>
      </c>
      <c r="G70" s="11" t="s">
        <v>34</v>
      </c>
      <c r="H70" s="89">
        <v>2</v>
      </c>
      <c r="I70" s="66" t="s">
        <v>68</v>
      </c>
      <c r="J70" s="64" t="s">
        <v>99</v>
      </c>
    </row>
    <row r="71" spans="1:10" ht="19.5" customHeight="1" x14ac:dyDescent="0.25">
      <c r="A71" s="24">
        <v>51</v>
      </c>
      <c r="B71" s="7" t="s">
        <v>143</v>
      </c>
      <c r="C71" s="61">
        <v>0.79166666666666663</v>
      </c>
      <c r="D71" s="25" t="s">
        <v>61</v>
      </c>
      <c r="E71" s="69" t="s">
        <v>63</v>
      </c>
      <c r="F71" s="91">
        <v>1</v>
      </c>
      <c r="G71" s="11" t="s">
        <v>34</v>
      </c>
      <c r="H71" s="91">
        <v>3</v>
      </c>
      <c r="I71" s="70" t="s">
        <v>65</v>
      </c>
      <c r="J71" s="64" t="s">
        <v>102</v>
      </c>
    </row>
    <row r="72" spans="1:10" ht="19.5" customHeight="1" x14ac:dyDescent="0.25">
      <c r="A72" s="24">
        <v>52</v>
      </c>
      <c r="B72" s="7" t="s">
        <v>143</v>
      </c>
      <c r="C72" s="61">
        <v>0.79166666666666663</v>
      </c>
      <c r="D72" s="25" t="s">
        <v>61</v>
      </c>
      <c r="E72" s="69" t="s">
        <v>66</v>
      </c>
      <c r="F72" s="91">
        <v>2</v>
      </c>
      <c r="G72" s="11" t="s">
        <v>34</v>
      </c>
      <c r="H72" s="91">
        <v>0</v>
      </c>
      <c r="I72" s="70" t="s">
        <v>62</v>
      </c>
      <c r="J72" s="64" t="s">
        <v>95</v>
      </c>
    </row>
    <row r="73" spans="1:10" ht="19.5" customHeight="1" x14ac:dyDescent="0.25">
      <c r="A73" s="6">
        <v>53</v>
      </c>
      <c r="B73" s="7" t="s">
        <v>143</v>
      </c>
      <c r="C73" s="61">
        <v>0.91666666666666663</v>
      </c>
      <c r="D73" s="8" t="s">
        <v>42</v>
      </c>
      <c r="E73" s="62" t="s">
        <v>47</v>
      </c>
      <c r="F73" s="88">
        <v>2</v>
      </c>
      <c r="G73" s="11" t="s">
        <v>34</v>
      </c>
      <c r="H73" s="88">
        <v>2</v>
      </c>
      <c r="I73" s="63" t="s">
        <v>43</v>
      </c>
      <c r="J73" s="64" t="s">
        <v>45</v>
      </c>
    </row>
    <row r="74" spans="1:10" ht="19.5" customHeight="1" x14ac:dyDescent="0.25">
      <c r="A74" s="6">
        <v>54</v>
      </c>
      <c r="B74" s="7" t="s">
        <v>143</v>
      </c>
      <c r="C74" s="61">
        <v>0.91666666666666663</v>
      </c>
      <c r="D74" s="8" t="s">
        <v>42</v>
      </c>
      <c r="E74" s="62" t="s">
        <v>44</v>
      </c>
      <c r="F74" s="88">
        <v>0</v>
      </c>
      <c r="G74" s="11" t="s">
        <v>34</v>
      </c>
      <c r="H74" s="88">
        <v>2</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1</v>
      </c>
      <c r="G76" s="11" t="s">
        <v>34</v>
      </c>
      <c r="H76" s="92">
        <v>2</v>
      </c>
      <c r="I76" s="72" t="s">
        <v>84</v>
      </c>
      <c r="J76" s="64" t="s">
        <v>86</v>
      </c>
    </row>
    <row r="77" spans="1:10" ht="19.5" customHeight="1" x14ac:dyDescent="0.25">
      <c r="A77" s="28">
        <v>56</v>
      </c>
      <c r="B77" s="7" t="s">
        <v>145</v>
      </c>
      <c r="C77" s="61">
        <v>0.70833333333333337</v>
      </c>
      <c r="D77" s="29" t="s">
        <v>76</v>
      </c>
      <c r="E77" s="71" t="s">
        <v>85</v>
      </c>
      <c r="F77" s="92">
        <v>1</v>
      </c>
      <c r="G77" s="11" t="s">
        <v>34</v>
      </c>
      <c r="H77" s="92">
        <v>3</v>
      </c>
      <c r="I77" s="72" t="s">
        <v>77</v>
      </c>
      <c r="J77" s="64" t="s">
        <v>67</v>
      </c>
    </row>
    <row r="78" spans="1:10" ht="19.5" customHeight="1" x14ac:dyDescent="0.25">
      <c r="A78" s="32">
        <v>57</v>
      </c>
      <c r="B78" s="7" t="s">
        <v>145</v>
      </c>
      <c r="C78" s="61">
        <v>0.83333333333333337</v>
      </c>
      <c r="D78" s="33" t="s">
        <v>80</v>
      </c>
      <c r="E78" s="73" t="s">
        <v>82</v>
      </c>
      <c r="F78" s="93">
        <v>2</v>
      </c>
      <c r="G78" s="11" t="s">
        <v>34</v>
      </c>
      <c r="H78" s="93">
        <v>1</v>
      </c>
      <c r="I78" s="74" t="s">
        <v>87</v>
      </c>
      <c r="J78" s="64" t="s">
        <v>83</v>
      </c>
    </row>
    <row r="79" spans="1:10" ht="19.5" customHeight="1" x14ac:dyDescent="0.25">
      <c r="A79" s="32">
        <v>58</v>
      </c>
      <c r="B79" s="7" t="s">
        <v>145</v>
      </c>
      <c r="C79" s="61">
        <v>0.83333333333333337</v>
      </c>
      <c r="D79" s="33" t="s">
        <v>80</v>
      </c>
      <c r="E79" s="73" t="s">
        <v>88</v>
      </c>
      <c r="F79" s="93">
        <v>0</v>
      </c>
      <c r="G79" s="11" t="s">
        <v>34</v>
      </c>
      <c r="H79" s="93">
        <v>2</v>
      </c>
      <c r="I79" s="74" t="s">
        <v>81</v>
      </c>
      <c r="J79" s="64" t="s">
        <v>115</v>
      </c>
    </row>
    <row r="80" spans="1:10" ht="19.5" customHeight="1" x14ac:dyDescent="0.25">
      <c r="A80" s="20">
        <v>59</v>
      </c>
      <c r="B80" s="7" t="s">
        <v>145</v>
      </c>
      <c r="C80" s="61">
        <v>0.95833333333333337</v>
      </c>
      <c r="D80" s="21" t="s">
        <v>55</v>
      </c>
      <c r="E80" s="67" t="s">
        <v>74</v>
      </c>
      <c r="F80" s="90">
        <v>1</v>
      </c>
      <c r="G80" s="11" t="s">
        <v>34</v>
      </c>
      <c r="H80" s="90">
        <v>1</v>
      </c>
      <c r="I80" s="68" t="s">
        <v>56</v>
      </c>
      <c r="J80" s="64" t="s">
        <v>58</v>
      </c>
    </row>
    <row r="81" spans="1:10" ht="19.5" customHeight="1" x14ac:dyDescent="0.25">
      <c r="A81" s="20">
        <v>60</v>
      </c>
      <c r="B81" s="7" t="s">
        <v>145</v>
      </c>
      <c r="C81" s="61">
        <v>0.95833333333333337</v>
      </c>
      <c r="D81" s="21" t="s">
        <v>55</v>
      </c>
      <c r="E81" s="67" t="s">
        <v>57</v>
      </c>
      <c r="F81" s="90">
        <v>2</v>
      </c>
      <c r="G81" s="11" t="s">
        <v>34</v>
      </c>
      <c r="H81" s="90">
        <v>1</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v>1</v>
      </c>
      <c r="G83" s="11" t="s">
        <v>34</v>
      </c>
      <c r="H83" s="96">
        <v>3</v>
      </c>
      <c r="I83" s="80" t="s">
        <v>108</v>
      </c>
      <c r="J83" s="64" t="s">
        <v>64</v>
      </c>
    </row>
    <row r="84" spans="1:10" ht="19.5" customHeight="1" x14ac:dyDescent="0.25">
      <c r="A84" s="44">
        <v>62</v>
      </c>
      <c r="B84" s="7" t="s">
        <v>147</v>
      </c>
      <c r="C84" s="61">
        <v>0.66666666666666663</v>
      </c>
      <c r="D84" s="45" t="s">
        <v>107</v>
      </c>
      <c r="E84" s="79" t="s">
        <v>109</v>
      </c>
      <c r="F84" s="96">
        <v>1</v>
      </c>
      <c r="G84" s="11" t="s">
        <v>34</v>
      </c>
      <c r="H84" s="96">
        <v>1</v>
      </c>
      <c r="I84" s="80" t="s">
        <v>110</v>
      </c>
      <c r="J84" s="64" t="s">
        <v>54</v>
      </c>
    </row>
    <row r="85" spans="1:10" ht="19.5" customHeight="1" x14ac:dyDescent="0.25">
      <c r="A85" s="36">
        <v>63</v>
      </c>
      <c r="B85" s="7" t="s">
        <v>147</v>
      </c>
      <c r="C85" s="61">
        <v>0.875</v>
      </c>
      <c r="D85" s="37" t="s">
        <v>92</v>
      </c>
      <c r="E85" s="75" t="s">
        <v>94</v>
      </c>
      <c r="F85" s="94">
        <v>1</v>
      </c>
      <c r="G85" s="11" t="s">
        <v>34</v>
      </c>
      <c r="H85" s="94">
        <v>2</v>
      </c>
      <c r="I85" s="76" t="s">
        <v>100</v>
      </c>
      <c r="J85" s="64" t="s">
        <v>79</v>
      </c>
    </row>
    <row r="86" spans="1:10" ht="19.5" customHeight="1" x14ac:dyDescent="0.25">
      <c r="A86" s="36">
        <v>64</v>
      </c>
      <c r="B86" s="7" t="s">
        <v>147</v>
      </c>
      <c r="C86" s="61">
        <v>0.875</v>
      </c>
      <c r="D86" s="37" t="s">
        <v>92</v>
      </c>
      <c r="E86" s="75" t="s">
        <v>101</v>
      </c>
      <c r="F86" s="94">
        <v>2</v>
      </c>
      <c r="G86" s="11" t="s">
        <v>34</v>
      </c>
      <c r="H86" s="94">
        <v>1</v>
      </c>
      <c r="I86" s="76" t="s">
        <v>93</v>
      </c>
      <c r="J86" s="64" t="s">
        <v>48</v>
      </c>
    </row>
    <row r="87" spans="1:10" ht="19.5" customHeight="1" x14ac:dyDescent="0.25">
      <c r="A87" s="40">
        <v>65</v>
      </c>
      <c r="B87" s="7" t="s">
        <v>147</v>
      </c>
      <c r="C87" s="61">
        <v>0.99930555555555556</v>
      </c>
      <c r="D87" s="41" t="s">
        <v>96</v>
      </c>
      <c r="E87" s="77" t="s">
        <v>98</v>
      </c>
      <c r="F87" s="95">
        <v>0</v>
      </c>
      <c r="G87" s="11" t="s">
        <v>34</v>
      </c>
      <c r="H87" s="95">
        <v>0</v>
      </c>
      <c r="I87" s="78" t="s">
        <v>103</v>
      </c>
      <c r="J87" s="64" t="s">
        <v>99</v>
      </c>
    </row>
    <row r="88" spans="1:10" ht="19.5" customHeight="1" x14ac:dyDescent="0.25">
      <c r="A88" s="40">
        <v>66</v>
      </c>
      <c r="B88" s="7" t="s">
        <v>147</v>
      </c>
      <c r="C88" s="61">
        <v>0.99930555555555556</v>
      </c>
      <c r="D88" s="41" t="s">
        <v>96</v>
      </c>
      <c r="E88" s="77" t="s">
        <v>104</v>
      </c>
      <c r="F88" s="95">
        <v>0</v>
      </c>
      <c r="G88" s="11" t="s">
        <v>34</v>
      </c>
      <c r="H88" s="95">
        <v>2</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0</v>
      </c>
      <c r="G90" s="11" t="s">
        <v>34</v>
      </c>
      <c r="H90" s="99">
        <v>2</v>
      </c>
      <c r="I90" s="86" t="s">
        <v>124</v>
      </c>
      <c r="J90" s="64" t="s">
        <v>67</v>
      </c>
    </row>
    <row r="91" spans="1:10" ht="19.5" customHeight="1" x14ac:dyDescent="0.25">
      <c r="A91" s="56">
        <v>68</v>
      </c>
      <c r="B91" s="7" t="s">
        <v>149</v>
      </c>
      <c r="C91" s="61">
        <v>0.75</v>
      </c>
      <c r="D91" s="57" t="s">
        <v>123</v>
      </c>
      <c r="E91" s="85" t="s">
        <v>125</v>
      </c>
      <c r="F91" s="99">
        <v>2</v>
      </c>
      <c r="G91" s="11" t="s">
        <v>34</v>
      </c>
      <c r="H91" s="99">
        <v>1</v>
      </c>
      <c r="I91" s="86" t="s">
        <v>126</v>
      </c>
      <c r="J91" s="64" t="s">
        <v>86</v>
      </c>
    </row>
    <row r="92" spans="1:10" ht="19.5" customHeight="1" x14ac:dyDescent="0.25">
      <c r="A92" s="52">
        <v>69</v>
      </c>
      <c r="B92" s="7" t="s">
        <v>149</v>
      </c>
      <c r="C92" s="61">
        <v>0.85416666666666663</v>
      </c>
      <c r="D92" s="53" t="s">
        <v>120</v>
      </c>
      <c r="E92" s="83" t="s">
        <v>129</v>
      </c>
      <c r="F92" s="98">
        <v>1</v>
      </c>
      <c r="G92" s="11" t="s">
        <v>34</v>
      </c>
      <c r="H92" s="98">
        <v>3</v>
      </c>
      <c r="I92" s="84" t="s">
        <v>121</v>
      </c>
      <c r="J92" s="64" t="s">
        <v>102</v>
      </c>
    </row>
    <row r="93" spans="1:10" ht="19.5" customHeight="1" x14ac:dyDescent="0.25">
      <c r="A93" s="52">
        <v>70</v>
      </c>
      <c r="B93" s="7" t="s">
        <v>149</v>
      </c>
      <c r="C93" s="61">
        <v>0.85416666666666663</v>
      </c>
      <c r="D93" s="53" t="s">
        <v>120</v>
      </c>
      <c r="E93" s="83" t="s">
        <v>122</v>
      </c>
      <c r="F93" s="98">
        <v>2</v>
      </c>
      <c r="G93" s="11" t="s">
        <v>34</v>
      </c>
      <c r="H93" s="98">
        <v>2</v>
      </c>
      <c r="I93" s="84" t="s">
        <v>128</v>
      </c>
      <c r="J93" s="64" t="s">
        <v>95</v>
      </c>
    </row>
    <row r="94" spans="1:10" ht="19.5" customHeight="1" x14ac:dyDescent="0.25">
      <c r="A94" s="48">
        <v>71</v>
      </c>
      <c r="B94" s="7" t="s">
        <v>149</v>
      </c>
      <c r="C94" s="61">
        <v>0.95833333333333337</v>
      </c>
      <c r="D94" s="49" t="s">
        <v>112</v>
      </c>
      <c r="E94" s="81" t="s">
        <v>114</v>
      </c>
      <c r="F94" s="97">
        <v>1</v>
      </c>
      <c r="G94" s="11" t="s">
        <v>34</v>
      </c>
      <c r="H94" s="97">
        <v>1</v>
      </c>
      <c r="I94" s="82" t="s">
        <v>118</v>
      </c>
      <c r="J94" s="64" t="s">
        <v>115</v>
      </c>
    </row>
    <row r="95" spans="1:10" ht="19.5" customHeight="1" x14ac:dyDescent="0.25">
      <c r="A95" s="48">
        <v>72</v>
      </c>
      <c r="B95" s="7" t="s">
        <v>149</v>
      </c>
      <c r="C95" s="61">
        <v>0.95833333333333337</v>
      </c>
      <c r="D95" s="49" t="s">
        <v>112</v>
      </c>
      <c r="E95" s="81" t="s">
        <v>119</v>
      </c>
      <c r="F95" s="97">
        <v>0</v>
      </c>
      <c r="G95" s="11" t="s">
        <v>34</v>
      </c>
      <c r="H95" s="97">
        <v>3</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25"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24"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9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J1000"/>
  <sheetViews>
    <sheetView topLeftCell="A46" zoomScaleNormal="100" workbookViewId="0">
      <selection activeCell="J96" sqref="J96"/>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177</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2</v>
      </c>
      <c r="G8" s="11" t="s">
        <v>34</v>
      </c>
      <c r="H8" s="88">
        <v>1</v>
      </c>
      <c r="I8" s="63" t="s">
        <v>44</v>
      </c>
      <c r="J8" s="64" t="s">
        <v>45</v>
      </c>
    </row>
    <row r="9" spans="1:10" ht="19.5" customHeight="1" x14ac:dyDescent="0.25">
      <c r="A9" s="6">
        <v>2</v>
      </c>
      <c r="B9" s="7" t="s">
        <v>41</v>
      </c>
      <c r="C9" s="61">
        <v>0.95833333333333337</v>
      </c>
      <c r="D9" s="8" t="s">
        <v>42</v>
      </c>
      <c r="E9" s="62" t="s">
        <v>46</v>
      </c>
      <c r="F9" s="88">
        <v>1</v>
      </c>
      <c r="G9" s="11" t="s">
        <v>34</v>
      </c>
      <c r="H9" s="88">
        <v>2</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1</v>
      </c>
      <c r="G11" s="11" t="s">
        <v>34</v>
      </c>
      <c r="H11" s="89">
        <v>0</v>
      </c>
      <c r="I11" s="66" t="s">
        <v>53</v>
      </c>
      <c r="J11" s="64" t="s">
        <v>54</v>
      </c>
    </row>
    <row r="12" spans="1:10" ht="19.5" customHeight="1" x14ac:dyDescent="0.25">
      <c r="A12" s="20">
        <v>4</v>
      </c>
      <c r="B12" s="7" t="s">
        <v>50</v>
      </c>
      <c r="C12" s="61">
        <v>0.66666666666666663</v>
      </c>
      <c r="D12" s="21" t="s">
        <v>55</v>
      </c>
      <c r="E12" s="67" t="s">
        <v>56</v>
      </c>
      <c r="F12" s="90">
        <v>1</v>
      </c>
      <c r="G12" s="11" t="s">
        <v>34</v>
      </c>
      <c r="H12" s="90">
        <v>0</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0</v>
      </c>
      <c r="G14" s="11" t="s">
        <v>34</v>
      </c>
      <c r="H14" s="91">
        <v>2</v>
      </c>
      <c r="I14" s="70" t="s">
        <v>63</v>
      </c>
      <c r="J14" s="64" t="s">
        <v>64</v>
      </c>
    </row>
    <row r="15" spans="1:10" ht="19.5" customHeight="1" x14ac:dyDescent="0.25">
      <c r="A15" s="24">
        <v>6</v>
      </c>
      <c r="B15" s="7" t="s">
        <v>60</v>
      </c>
      <c r="C15" s="61">
        <v>0.79166666666666663</v>
      </c>
      <c r="D15" s="25" t="s">
        <v>61</v>
      </c>
      <c r="E15" s="69" t="s">
        <v>65</v>
      </c>
      <c r="F15" s="91">
        <v>2</v>
      </c>
      <c r="G15" s="11" t="s">
        <v>34</v>
      </c>
      <c r="H15" s="91">
        <v>2</v>
      </c>
      <c r="I15" s="70" t="s">
        <v>66</v>
      </c>
      <c r="J15" s="64" t="s">
        <v>67</v>
      </c>
    </row>
    <row r="16" spans="1:10" ht="19.5" customHeight="1" x14ac:dyDescent="0.25">
      <c r="A16" s="16">
        <v>7</v>
      </c>
      <c r="B16" s="7" t="s">
        <v>60</v>
      </c>
      <c r="C16" s="61">
        <v>0.66666666666666663</v>
      </c>
      <c r="D16" s="17" t="s">
        <v>51</v>
      </c>
      <c r="E16" s="65" t="s">
        <v>68</v>
      </c>
      <c r="F16" s="89">
        <v>0</v>
      </c>
      <c r="G16" s="11" t="s">
        <v>34</v>
      </c>
      <c r="H16" s="89">
        <v>1</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0</v>
      </c>
      <c r="G18" s="11" t="s">
        <v>34</v>
      </c>
      <c r="H18" s="90">
        <v>2</v>
      </c>
      <c r="I18" s="68" t="s">
        <v>74</v>
      </c>
      <c r="J18" s="64" t="s">
        <v>75</v>
      </c>
    </row>
    <row r="19" spans="1:10" ht="19.5" customHeight="1" x14ac:dyDescent="0.25">
      <c r="A19" s="28">
        <v>9</v>
      </c>
      <c r="B19" s="7" t="s">
        <v>72</v>
      </c>
      <c r="C19" s="61">
        <v>0.58333333333333337</v>
      </c>
      <c r="D19" s="29" t="s">
        <v>76</v>
      </c>
      <c r="E19" s="71" t="s">
        <v>77</v>
      </c>
      <c r="F19" s="92">
        <v>3</v>
      </c>
      <c r="G19" s="11" t="s">
        <v>34</v>
      </c>
      <c r="H19" s="92">
        <v>2</v>
      </c>
      <c r="I19" s="72" t="s">
        <v>78</v>
      </c>
      <c r="J19" s="64" t="s">
        <v>79</v>
      </c>
    </row>
    <row r="20" spans="1:10" ht="19.5" customHeight="1" x14ac:dyDescent="0.25">
      <c r="A20" s="32">
        <v>10</v>
      </c>
      <c r="B20" s="7" t="s">
        <v>72</v>
      </c>
      <c r="C20" s="61">
        <v>0.70833333333333337</v>
      </c>
      <c r="D20" s="33" t="s">
        <v>80</v>
      </c>
      <c r="E20" s="73" t="s">
        <v>81</v>
      </c>
      <c r="F20" s="93">
        <v>3</v>
      </c>
      <c r="G20" s="11" t="s">
        <v>34</v>
      </c>
      <c r="H20" s="93">
        <v>0</v>
      </c>
      <c r="I20" s="74" t="s">
        <v>82</v>
      </c>
      <c r="J20" s="64" t="s">
        <v>83</v>
      </c>
    </row>
    <row r="21" spans="1:10" ht="19.5" customHeight="1" x14ac:dyDescent="0.25">
      <c r="A21" s="28">
        <v>11</v>
      </c>
      <c r="B21" s="7" t="s">
        <v>72</v>
      </c>
      <c r="C21" s="61">
        <v>0.83333333333333337</v>
      </c>
      <c r="D21" s="29" t="s">
        <v>76</v>
      </c>
      <c r="E21" s="71" t="s">
        <v>84</v>
      </c>
      <c r="F21" s="92">
        <v>1</v>
      </c>
      <c r="G21" s="11" t="s">
        <v>34</v>
      </c>
      <c r="H21" s="92">
        <v>3</v>
      </c>
      <c r="I21" s="72" t="s">
        <v>85</v>
      </c>
      <c r="J21" s="64" t="s">
        <v>86</v>
      </c>
    </row>
    <row r="22" spans="1:10" ht="19.5" customHeight="1" x14ac:dyDescent="0.25">
      <c r="A22" s="32">
        <v>12</v>
      </c>
      <c r="B22" s="7" t="s">
        <v>72</v>
      </c>
      <c r="C22" s="61">
        <v>0.95833333333333337</v>
      </c>
      <c r="D22" s="33" t="s">
        <v>80</v>
      </c>
      <c r="E22" s="73" t="s">
        <v>87</v>
      </c>
      <c r="F22" s="93">
        <v>2</v>
      </c>
      <c r="G22" s="11" t="s">
        <v>34</v>
      </c>
      <c r="H22" s="93">
        <v>0</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2</v>
      </c>
      <c r="G24" s="11" t="s">
        <v>34</v>
      </c>
      <c r="H24" s="94">
        <v>0</v>
      </c>
      <c r="I24" s="76" t="s">
        <v>94</v>
      </c>
      <c r="J24" s="64" t="s">
        <v>95</v>
      </c>
    </row>
    <row r="25" spans="1:10" ht="19.5" customHeight="1" x14ac:dyDescent="0.25">
      <c r="A25" s="40">
        <v>14</v>
      </c>
      <c r="B25" s="7" t="s">
        <v>91</v>
      </c>
      <c r="C25" s="61">
        <v>0.66666666666666663</v>
      </c>
      <c r="D25" s="41" t="s">
        <v>96</v>
      </c>
      <c r="E25" s="77" t="s">
        <v>97</v>
      </c>
      <c r="F25" s="95">
        <v>2</v>
      </c>
      <c r="G25" s="11" t="s">
        <v>34</v>
      </c>
      <c r="H25" s="95">
        <v>0</v>
      </c>
      <c r="I25" s="78" t="s">
        <v>98</v>
      </c>
      <c r="J25" s="64" t="s">
        <v>99</v>
      </c>
    </row>
    <row r="26" spans="1:10" ht="19.5" customHeight="1" x14ac:dyDescent="0.25">
      <c r="A26" s="36">
        <v>15</v>
      </c>
      <c r="B26" s="7" t="s">
        <v>91</v>
      </c>
      <c r="C26" s="61">
        <v>0.79166666666666663</v>
      </c>
      <c r="D26" s="37" t="s">
        <v>92</v>
      </c>
      <c r="E26" s="75" t="s">
        <v>100</v>
      </c>
      <c r="F26" s="94">
        <v>1</v>
      </c>
      <c r="G26" s="11" t="s">
        <v>34</v>
      </c>
      <c r="H26" s="94">
        <v>2</v>
      </c>
      <c r="I26" s="76" t="s">
        <v>101</v>
      </c>
      <c r="J26" s="64" t="s">
        <v>102</v>
      </c>
    </row>
    <row r="27" spans="1:10" ht="19.5" customHeight="1" x14ac:dyDescent="0.25">
      <c r="A27" s="40">
        <v>16</v>
      </c>
      <c r="B27" s="7" t="s">
        <v>91</v>
      </c>
      <c r="C27" s="61">
        <v>0.91666666666666663</v>
      </c>
      <c r="D27" s="41" t="s">
        <v>96</v>
      </c>
      <c r="E27" s="77" t="s">
        <v>103</v>
      </c>
      <c r="F27" s="95">
        <v>2</v>
      </c>
      <c r="G27" s="11" t="s">
        <v>34</v>
      </c>
      <c r="H27" s="95">
        <v>0</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3</v>
      </c>
      <c r="G29" s="11" t="s">
        <v>34</v>
      </c>
      <c r="H29" s="96">
        <v>0</v>
      </c>
      <c r="I29" s="80" t="s">
        <v>109</v>
      </c>
      <c r="J29" s="64" t="s">
        <v>67</v>
      </c>
    </row>
    <row r="30" spans="1:10" ht="19.5" customHeight="1" x14ac:dyDescent="0.25">
      <c r="A30" s="44">
        <v>18</v>
      </c>
      <c r="B30" s="7" t="s">
        <v>106</v>
      </c>
      <c r="C30" s="61">
        <v>0.79166666666666663</v>
      </c>
      <c r="D30" s="45" t="s">
        <v>107</v>
      </c>
      <c r="E30" s="79" t="s">
        <v>110</v>
      </c>
      <c r="F30" s="96">
        <v>1</v>
      </c>
      <c r="G30" s="11" t="s">
        <v>34</v>
      </c>
      <c r="H30" s="96">
        <v>1</v>
      </c>
      <c r="I30" s="80" t="s">
        <v>111</v>
      </c>
      <c r="J30" s="64" t="s">
        <v>64</v>
      </c>
    </row>
    <row r="31" spans="1:10" ht="19.5" customHeight="1" x14ac:dyDescent="0.25">
      <c r="A31" s="48">
        <v>19</v>
      </c>
      <c r="B31" s="7" t="s">
        <v>106</v>
      </c>
      <c r="C31" s="61">
        <v>0.91666666666666663</v>
      </c>
      <c r="D31" s="49" t="s">
        <v>112</v>
      </c>
      <c r="E31" s="81" t="s">
        <v>113</v>
      </c>
      <c r="F31" s="97">
        <v>3</v>
      </c>
      <c r="G31" s="11" t="s">
        <v>34</v>
      </c>
      <c r="H31" s="97">
        <v>0</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2</v>
      </c>
      <c r="G33" s="11" t="s">
        <v>34</v>
      </c>
      <c r="H33" s="97">
        <v>1</v>
      </c>
      <c r="I33" s="82" t="s">
        <v>119</v>
      </c>
      <c r="J33" s="64" t="s">
        <v>70</v>
      </c>
    </row>
    <row r="34" spans="1:10" ht="19.5" customHeight="1" x14ac:dyDescent="0.25">
      <c r="A34" s="52">
        <v>21</v>
      </c>
      <c r="B34" s="7" t="s">
        <v>117</v>
      </c>
      <c r="C34" s="61">
        <v>0.58333333333333337</v>
      </c>
      <c r="D34" s="53" t="s">
        <v>120</v>
      </c>
      <c r="E34" s="83" t="s">
        <v>121</v>
      </c>
      <c r="F34" s="98">
        <v>3</v>
      </c>
      <c r="G34" s="11" t="s">
        <v>34</v>
      </c>
      <c r="H34" s="98">
        <v>0</v>
      </c>
      <c r="I34" s="84" t="s">
        <v>122</v>
      </c>
      <c r="J34" s="64" t="s">
        <v>79</v>
      </c>
    </row>
    <row r="35" spans="1:10" ht="19.5" customHeight="1" x14ac:dyDescent="0.25">
      <c r="A35" s="56">
        <v>22</v>
      </c>
      <c r="B35" s="7" t="s">
        <v>117</v>
      </c>
      <c r="C35" s="61">
        <v>0.70833333333333337</v>
      </c>
      <c r="D35" s="57" t="s">
        <v>123</v>
      </c>
      <c r="E35" s="85" t="s">
        <v>124</v>
      </c>
      <c r="F35" s="99">
        <v>2</v>
      </c>
      <c r="G35" s="11" t="s">
        <v>34</v>
      </c>
      <c r="H35" s="99">
        <v>1</v>
      </c>
      <c r="I35" s="86" t="s">
        <v>125</v>
      </c>
      <c r="J35" s="64" t="s">
        <v>83</v>
      </c>
    </row>
    <row r="36" spans="1:10" ht="19.5" customHeight="1" x14ac:dyDescent="0.25">
      <c r="A36" s="56">
        <v>23</v>
      </c>
      <c r="B36" s="7" t="s">
        <v>117</v>
      </c>
      <c r="C36" s="61">
        <v>0.83333333333333337</v>
      </c>
      <c r="D36" s="57" t="s">
        <v>123</v>
      </c>
      <c r="E36" s="85" t="s">
        <v>126</v>
      </c>
      <c r="F36" s="99">
        <v>1</v>
      </c>
      <c r="G36" s="11" t="s">
        <v>34</v>
      </c>
      <c r="H36" s="99">
        <v>1</v>
      </c>
      <c r="I36" s="86" t="s">
        <v>127</v>
      </c>
      <c r="J36" s="64" t="s">
        <v>54</v>
      </c>
    </row>
    <row r="37" spans="1:10" ht="19.5" customHeight="1" x14ac:dyDescent="0.25">
      <c r="A37" s="52">
        <v>24</v>
      </c>
      <c r="B37" s="7" t="s">
        <v>117</v>
      </c>
      <c r="C37" s="61">
        <v>0.95833333333333337</v>
      </c>
      <c r="D37" s="53" t="s">
        <v>120</v>
      </c>
      <c r="E37" s="83" t="s">
        <v>128</v>
      </c>
      <c r="F37" s="98">
        <v>0</v>
      </c>
      <c r="G37" s="11" t="s">
        <v>34</v>
      </c>
      <c r="H37" s="98">
        <v>2</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1</v>
      </c>
      <c r="G39" s="11" t="s">
        <v>34</v>
      </c>
      <c r="H39" s="88">
        <v>2</v>
      </c>
      <c r="I39" s="63" t="s">
        <v>44</v>
      </c>
      <c r="J39" s="64" t="s">
        <v>95</v>
      </c>
    </row>
    <row r="40" spans="1:10" ht="19.5" customHeight="1" x14ac:dyDescent="0.25">
      <c r="A40" s="16">
        <v>26</v>
      </c>
      <c r="B40" s="7" t="s">
        <v>131</v>
      </c>
      <c r="C40" s="61">
        <v>0.66666666666666663</v>
      </c>
      <c r="D40" s="17" t="s">
        <v>51</v>
      </c>
      <c r="E40" s="65" t="s">
        <v>69</v>
      </c>
      <c r="F40" s="89">
        <v>2</v>
      </c>
      <c r="G40" s="11" t="s">
        <v>34</v>
      </c>
      <c r="H40" s="89">
        <v>2</v>
      </c>
      <c r="I40" s="66" t="s">
        <v>53</v>
      </c>
      <c r="J40" s="64" t="s">
        <v>58</v>
      </c>
    </row>
    <row r="41" spans="1:10" ht="19.5" customHeight="1" x14ac:dyDescent="0.25">
      <c r="A41" s="16">
        <v>27</v>
      </c>
      <c r="B41" s="7" t="s">
        <v>131</v>
      </c>
      <c r="C41" s="61">
        <v>0.79166666666666663</v>
      </c>
      <c r="D41" s="17" t="s">
        <v>51</v>
      </c>
      <c r="E41" s="65" t="s">
        <v>52</v>
      </c>
      <c r="F41" s="89">
        <v>1</v>
      </c>
      <c r="G41" s="11" t="s">
        <v>34</v>
      </c>
      <c r="H41" s="89">
        <v>0</v>
      </c>
      <c r="I41" s="66" t="s">
        <v>68</v>
      </c>
      <c r="J41" s="64" t="s">
        <v>75</v>
      </c>
    </row>
    <row r="42" spans="1:10" ht="19.5" customHeight="1" x14ac:dyDescent="0.25">
      <c r="A42" s="6">
        <v>28</v>
      </c>
      <c r="B42" s="7" t="s">
        <v>131</v>
      </c>
      <c r="C42" s="61">
        <v>0.91666666666666663</v>
      </c>
      <c r="D42" s="8" t="s">
        <v>42</v>
      </c>
      <c r="E42" s="62" t="s">
        <v>43</v>
      </c>
      <c r="F42" s="88">
        <v>2</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3</v>
      </c>
      <c r="G44" s="11" t="s">
        <v>34</v>
      </c>
      <c r="H44" s="90">
        <v>2</v>
      </c>
      <c r="I44" s="68" t="s">
        <v>73</v>
      </c>
      <c r="J44" s="64" t="s">
        <v>99</v>
      </c>
    </row>
    <row r="45" spans="1:10" ht="19.5" customHeight="1" x14ac:dyDescent="0.25">
      <c r="A45" s="24">
        <v>30</v>
      </c>
      <c r="B45" s="7" t="s">
        <v>133</v>
      </c>
      <c r="C45" s="61">
        <v>0.79166666666666663</v>
      </c>
      <c r="D45" s="25" t="s">
        <v>61</v>
      </c>
      <c r="E45" s="69" t="s">
        <v>63</v>
      </c>
      <c r="F45" s="91">
        <v>1</v>
      </c>
      <c r="G45" s="11" t="s">
        <v>34</v>
      </c>
      <c r="H45" s="91">
        <v>3</v>
      </c>
      <c r="I45" s="70" t="s">
        <v>66</v>
      </c>
      <c r="J45" s="64" t="s">
        <v>64</v>
      </c>
    </row>
    <row r="46" spans="1:10" ht="19.5" customHeight="1" x14ac:dyDescent="0.25">
      <c r="A46" s="24">
        <v>31</v>
      </c>
      <c r="B46" s="7" t="s">
        <v>133</v>
      </c>
      <c r="C46" s="61">
        <v>0.89583333333333337</v>
      </c>
      <c r="D46" s="25" t="s">
        <v>61</v>
      </c>
      <c r="E46" s="69" t="s">
        <v>65</v>
      </c>
      <c r="F46" s="91">
        <v>2</v>
      </c>
      <c r="G46" s="11" t="s">
        <v>34</v>
      </c>
      <c r="H46" s="91">
        <v>0</v>
      </c>
      <c r="I46" s="70" t="s">
        <v>62</v>
      </c>
      <c r="J46" s="64" t="s">
        <v>86</v>
      </c>
    </row>
    <row r="47" spans="1:10" ht="19.5" customHeight="1" x14ac:dyDescent="0.25">
      <c r="A47" s="20">
        <v>32</v>
      </c>
      <c r="B47" s="7" t="s">
        <v>133</v>
      </c>
      <c r="C47" s="61">
        <v>0.99930555555555556</v>
      </c>
      <c r="D47" s="21" t="s">
        <v>55</v>
      </c>
      <c r="E47" s="67" t="s">
        <v>74</v>
      </c>
      <c r="F47" s="90">
        <v>1</v>
      </c>
      <c r="G47" s="11" t="s">
        <v>34</v>
      </c>
      <c r="H47" s="90">
        <v>2</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3</v>
      </c>
      <c r="G49" s="11" t="s">
        <v>34</v>
      </c>
      <c r="H49" s="93">
        <v>2</v>
      </c>
      <c r="I49" s="74" t="s">
        <v>87</v>
      </c>
      <c r="J49" s="64" t="s">
        <v>79</v>
      </c>
    </row>
    <row r="50" spans="1:10" ht="19.5" customHeight="1" x14ac:dyDescent="0.25">
      <c r="A50" s="28">
        <v>34</v>
      </c>
      <c r="B50" s="7" t="s">
        <v>135</v>
      </c>
      <c r="C50" s="61">
        <v>0.70833333333333337</v>
      </c>
      <c r="D50" s="29" t="s">
        <v>76</v>
      </c>
      <c r="E50" s="71" t="s">
        <v>77</v>
      </c>
      <c r="F50" s="92">
        <v>3</v>
      </c>
      <c r="G50" s="11" t="s">
        <v>34</v>
      </c>
      <c r="H50" s="92">
        <v>1</v>
      </c>
      <c r="I50" s="72" t="s">
        <v>84</v>
      </c>
      <c r="J50" s="64" t="s">
        <v>54</v>
      </c>
    </row>
    <row r="51" spans="1:10" ht="19.5" customHeight="1" x14ac:dyDescent="0.25">
      <c r="A51" s="28">
        <v>35</v>
      </c>
      <c r="B51" s="7" t="s">
        <v>135</v>
      </c>
      <c r="C51" s="61">
        <v>0.875</v>
      </c>
      <c r="D51" s="29" t="s">
        <v>76</v>
      </c>
      <c r="E51" s="71" t="s">
        <v>85</v>
      </c>
      <c r="F51" s="92">
        <v>2</v>
      </c>
      <c r="G51" s="11" t="s">
        <v>34</v>
      </c>
      <c r="H51" s="92">
        <v>0</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1</v>
      </c>
      <c r="G53" s="11" t="s">
        <v>34</v>
      </c>
      <c r="H53" s="93">
        <v>3</v>
      </c>
      <c r="I53" s="74" t="s">
        <v>82</v>
      </c>
      <c r="J53" s="64" t="s">
        <v>89</v>
      </c>
    </row>
    <row r="54" spans="1:10" ht="19.5" customHeight="1" x14ac:dyDescent="0.25">
      <c r="A54" s="36">
        <v>37</v>
      </c>
      <c r="B54" s="7" t="s">
        <v>137</v>
      </c>
      <c r="C54" s="61">
        <v>0.54166666666666663</v>
      </c>
      <c r="D54" s="37" t="s">
        <v>92</v>
      </c>
      <c r="E54" s="75" t="s">
        <v>93</v>
      </c>
      <c r="F54" s="94">
        <v>3</v>
      </c>
      <c r="G54" s="11" t="s">
        <v>34</v>
      </c>
      <c r="H54" s="94">
        <v>2</v>
      </c>
      <c r="I54" s="76" t="s">
        <v>100</v>
      </c>
      <c r="J54" s="64" t="s">
        <v>95</v>
      </c>
    </row>
    <row r="55" spans="1:10" ht="19.5" customHeight="1" x14ac:dyDescent="0.25">
      <c r="A55" s="40">
        <v>38</v>
      </c>
      <c r="B55" s="7" t="s">
        <v>137</v>
      </c>
      <c r="C55" s="61">
        <v>0.66666666666666663</v>
      </c>
      <c r="D55" s="41" t="s">
        <v>96</v>
      </c>
      <c r="E55" s="77" t="s">
        <v>97</v>
      </c>
      <c r="F55" s="95">
        <v>2</v>
      </c>
      <c r="G55" s="11" t="s">
        <v>34</v>
      </c>
      <c r="H55" s="95">
        <v>1</v>
      </c>
      <c r="I55" s="78" t="s">
        <v>103</v>
      </c>
      <c r="J55" s="64" t="s">
        <v>58</v>
      </c>
    </row>
    <row r="56" spans="1:10" ht="19.5" customHeight="1" x14ac:dyDescent="0.25">
      <c r="A56" s="36">
        <v>39</v>
      </c>
      <c r="B56" s="7" t="s">
        <v>137</v>
      </c>
      <c r="C56" s="61">
        <v>0.79166666666666663</v>
      </c>
      <c r="D56" s="37" t="s">
        <v>92</v>
      </c>
      <c r="E56" s="75" t="s">
        <v>101</v>
      </c>
      <c r="F56" s="94">
        <v>2</v>
      </c>
      <c r="G56" s="11" t="s">
        <v>34</v>
      </c>
      <c r="H56" s="94">
        <v>1</v>
      </c>
      <c r="I56" s="76" t="s">
        <v>94</v>
      </c>
      <c r="J56" s="64" t="s">
        <v>102</v>
      </c>
    </row>
    <row r="57" spans="1:10" ht="19.5" customHeight="1" x14ac:dyDescent="0.25">
      <c r="A57" s="40">
        <v>40</v>
      </c>
      <c r="B57" s="7" t="s">
        <v>137</v>
      </c>
      <c r="C57" s="61">
        <v>0.91666666666666663</v>
      </c>
      <c r="D57" s="41" t="s">
        <v>96</v>
      </c>
      <c r="E57" s="77" t="s">
        <v>104</v>
      </c>
      <c r="F57" s="95">
        <v>0</v>
      </c>
      <c r="G57" s="11" t="s">
        <v>34</v>
      </c>
      <c r="H57" s="95">
        <v>2</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2</v>
      </c>
      <c r="G59" s="11" t="s">
        <v>34</v>
      </c>
      <c r="H59" s="97">
        <v>2</v>
      </c>
      <c r="I59" s="82" t="s">
        <v>118</v>
      </c>
      <c r="J59" s="64" t="s">
        <v>83</v>
      </c>
    </row>
    <row r="60" spans="1:10" ht="19.5" customHeight="1" x14ac:dyDescent="0.25">
      <c r="A60" s="44">
        <v>42</v>
      </c>
      <c r="B60" s="7" t="s">
        <v>139</v>
      </c>
      <c r="C60" s="61">
        <v>0.75</v>
      </c>
      <c r="D60" s="45" t="s">
        <v>107</v>
      </c>
      <c r="E60" s="79" t="s">
        <v>108</v>
      </c>
      <c r="F60" s="96">
        <v>3</v>
      </c>
      <c r="G60" s="11" t="s">
        <v>34</v>
      </c>
      <c r="H60" s="96">
        <v>0</v>
      </c>
      <c r="I60" s="80" t="s">
        <v>110</v>
      </c>
      <c r="J60" s="64" t="s">
        <v>86</v>
      </c>
    </row>
    <row r="61" spans="1:10" ht="19.5" customHeight="1" x14ac:dyDescent="0.25">
      <c r="A61" s="44">
        <v>43</v>
      </c>
      <c r="B61" s="7" t="s">
        <v>139</v>
      </c>
      <c r="C61" s="61">
        <v>0.875</v>
      </c>
      <c r="D61" s="45" t="s">
        <v>107</v>
      </c>
      <c r="E61" s="79" t="s">
        <v>111</v>
      </c>
      <c r="F61" s="96">
        <v>2</v>
      </c>
      <c r="G61" s="11" t="s">
        <v>34</v>
      </c>
      <c r="H61" s="96">
        <v>2</v>
      </c>
      <c r="I61" s="80" t="s">
        <v>109</v>
      </c>
      <c r="J61" s="64" t="s">
        <v>67</v>
      </c>
    </row>
    <row r="62" spans="1:10" ht="19.5" customHeight="1" x14ac:dyDescent="0.25">
      <c r="A62" s="48">
        <v>44</v>
      </c>
      <c r="B62" s="7" t="s">
        <v>139</v>
      </c>
      <c r="C62" s="61">
        <v>0.99930555555555556</v>
      </c>
      <c r="D62" s="49" t="s">
        <v>112</v>
      </c>
      <c r="E62" s="81" t="s">
        <v>119</v>
      </c>
      <c r="F62" s="97">
        <v>0</v>
      </c>
      <c r="G62" s="11" t="s">
        <v>34</v>
      </c>
      <c r="H62" s="97">
        <v>3</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3</v>
      </c>
      <c r="G64" s="11" t="s">
        <v>34</v>
      </c>
      <c r="H64" s="98">
        <v>0</v>
      </c>
      <c r="I64" s="84" t="s">
        <v>128</v>
      </c>
      <c r="J64" s="64" t="s">
        <v>79</v>
      </c>
    </row>
    <row r="65" spans="1:10" ht="19.5" customHeight="1" x14ac:dyDescent="0.25">
      <c r="A65" s="56">
        <v>46</v>
      </c>
      <c r="B65" s="7" t="s">
        <v>141</v>
      </c>
      <c r="C65" s="61">
        <v>0.70833333333333337</v>
      </c>
      <c r="D65" s="57" t="s">
        <v>123</v>
      </c>
      <c r="E65" s="85" t="s">
        <v>124</v>
      </c>
      <c r="F65" s="99">
        <v>3</v>
      </c>
      <c r="G65" s="11" t="s">
        <v>34</v>
      </c>
      <c r="H65" s="99">
        <v>0</v>
      </c>
      <c r="I65" s="86" t="s">
        <v>126</v>
      </c>
      <c r="J65" s="64" t="s">
        <v>64</v>
      </c>
    </row>
    <row r="66" spans="1:10" ht="19.5" customHeight="1" x14ac:dyDescent="0.25">
      <c r="A66" s="56">
        <v>47</v>
      </c>
      <c r="B66" s="7" t="s">
        <v>141</v>
      </c>
      <c r="C66" s="61">
        <v>0.83333333333333337</v>
      </c>
      <c r="D66" s="57" t="s">
        <v>123</v>
      </c>
      <c r="E66" s="85" t="s">
        <v>127</v>
      </c>
      <c r="F66" s="99">
        <v>0</v>
      </c>
      <c r="G66" s="11" t="s">
        <v>34</v>
      </c>
      <c r="H66" s="99">
        <v>2</v>
      </c>
      <c r="I66" s="86" t="s">
        <v>125</v>
      </c>
      <c r="J66" s="64" t="s">
        <v>54</v>
      </c>
    </row>
    <row r="67" spans="1:10" ht="19.5" customHeight="1" x14ac:dyDescent="0.25">
      <c r="A67" s="52">
        <v>48</v>
      </c>
      <c r="B67" s="7" t="s">
        <v>141</v>
      </c>
      <c r="C67" s="61">
        <v>0.95833333333333337</v>
      </c>
      <c r="D67" s="53" t="s">
        <v>120</v>
      </c>
      <c r="E67" s="83" t="s">
        <v>129</v>
      </c>
      <c r="F67" s="98">
        <v>3</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1</v>
      </c>
      <c r="G69" s="11" t="s">
        <v>34</v>
      </c>
      <c r="H69" s="89">
        <v>1</v>
      </c>
      <c r="I69" s="66" t="s">
        <v>52</v>
      </c>
      <c r="J69" s="64" t="s">
        <v>75</v>
      </c>
    </row>
    <row r="70" spans="1:10" ht="19.5" customHeight="1" x14ac:dyDescent="0.25">
      <c r="A70" s="16">
        <v>50</v>
      </c>
      <c r="B70" s="7" t="s">
        <v>143</v>
      </c>
      <c r="C70" s="61">
        <v>0.66666666666666663</v>
      </c>
      <c r="D70" s="17" t="s">
        <v>51</v>
      </c>
      <c r="E70" s="65" t="s">
        <v>53</v>
      </c>
      <c r="F70" s="89">
        <v>2</v>
      </c>
      <c r="G70" s="11" t="s">
        <v>34</v>
      </c>
      <c r="H70" s="89">
        <v>0</v>
      </c>
      <c r="I70" s="66" t="s">
        <v>68</v>
      </c>
      <c r="J70" s="64" t="s">
        <v>99</v>
      </c>
    </row>
    <row r="71" spans="1:10" ht="19.5" customHeight="1" x14ac:dyDescent="0.25">
      <c r="A71" s="24">
        <v>51</v>
      </c>
      <c r="B71" s="7" t="s">
        <v>143</v>
      </c>
      <c r="C71" s="61">
        <v>0.79166666666666663</v>
      </c>
      <c r="D71" s="25" t="s">
        <v>61</v>
      </c>
      <c r="E71" s="69" t="s">
        <v>63</v>
      </c>
      <c r="F71" s="91">
        <v>1</v>
      </c>
      <c r="G71" s="11" t="s">
        <v>34</v>
      </c>
      <c r="H71" s="91">
        <v>3</v>
      </c>
      <c r="I71" s="70" t="s">
        <v>65</v>
      </c>
      <c r="J71" s="64" t="s">
        <v>102</v>
      </c>
    </row>
    <row r="72" spans="1:10" ht="19.5" customHeight="1" x14ac:dyDescent="0.25">
      <c r="A72" s="24">
        <v>52</v>
      </c>
      <c r="B72" s="7" t="s">
        <v>143</v>
      </c>
      <c r="C72" s="61">
        <v>0.79166666666666663</v>
      </c>
      <c r="D72" s="25" t="s">
        <v>61</v>
      </c>
      <c r="E72" s="69" t="s">
        <v>66</v>
      </c>
      <c r="F72" s="91">
        <v>3</v>
      </c>
      <c r="G72" s="11" t="s">
        <v>34</v>
      </c>
      <c r="H72" s="91">
        <v>0</v>
      </c>
      <c r="I72" s="70" t="s">
        <v>62</v>
      </c>
      <c r="J72" s="64" t="s">
        <v>95</v>
      </c>
    </row>
    <row r="73" spans="1:10" ht="19.5" customHeight="1" x14ac:dyDescent="0.25">
      <c r="A73" s="6">
        <v>53</v>
      </c>
      <c r="B73" s="7" t="s">
        <v>143</v>
      </c>
      <c r="C73" s="61">
        <v>0.91666666666666663</v>
      </c>
      <c r="D73" s="8" t="s">
        <v>42</v>
      </c>
      <c r="E73" s="62" t="s">
        <v>47</v>
      </c>
      <c r="F73" s="88">
        <v>0</v>
      </c>
      <c r="G73" s="11" t="s">
        <v>34</v>
      </c>
      <c r="H73" s="88">
        <v>2</v>
      </c>
      <c r="I73" s="63" t="s">
        <v>43</v>
      </c>
      <c r="J73" s="64" t="s">
        <v>45</v>
      </c>
    </row>
    <row r="74" spans="1:10" ht="19.5" customHeight="1" x14ac:dyDescent="0.25">
      <c r="A74" s="6">
        <v>54</v>
      </c>
      <c r="B74" s="7" t="s">
        <v>143</v>
      </c>
      <c r="C74" s="61">
        <v>0.91666666666666663</v>
      </c>
      <c r="D74" s="8" t="s">
        <v>42</v>
      </c>
      <c r="E74" s="62" t="s">
        <v>44</v>
      </c>
      <c r="F74" s="88">
        <v>2</v>
      </c>
      <c r="G74" s="11" t="s">
        <v>34</v>
      </c>
      <c r="H74" s="88">
        <v>2</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0</v>
      </c>
      <c r="G76" s="11" t="s">
        <v>34</v>
      </c>
      <c r="H76" s="92">
        <v>2</v>
      </c>
      <c r="I76" s="72" t="s">
        <v>84</v>
      </c>
      <c r="J76" s="64" t="s">
        <v>86</v>
      </c>
    </row>
    <row r="77" spans="1:10" ht="19.5" customHeight="1" x14ac:dyDescent="0.25">
      <c r="A77" s="28">
        <v>56</v>
      </c>
      <c r="B77" s="7" t="s">
        <v>145</v>
      </c>
      <c r="C77" s="61">
        <v>0.70833333333333337</v>
      </c>
      <c r="D77" s="29" t="s">
        <v>76</v>
      </c>
      <c r="E77" s="71" t="s">
        <v>85</v>
      </c>
      <c r="F77" s="92">
        <v>1</v>
      </c>
      <c r="G77" s="11" t="s">
        <v>34</v>
      </c>
      <c r="H77" s="92">
        <v>3</v>
      </c>
      <c r="I77" s="72" t="s">
        <v>77</v>
      </c>
      <c r="J77" s="64" t="s">
        <v>67</v>
      </c>
    </row>
    <row r="78" spans="1:10" ht="19.5" customHeight="1" x14ac:dyDescent="0.25">
      <c r="A78" s="32">
        <v>57</v>
      </c>
      <c r="B78" s="7" t="s">
        <v>145</v>
      </c>
      <c r="C78" s="61">
        <v>0.83333333333333337</v>
      </c>
      <c r="D78" s="33" t="s">
        <v>80</v>
      </c>
      <c r="E78" s="73" t="s">
        <v>82</v>
      </c>
      <c r="F78" s="93">
        <v>2</v>
      </c>
      <c r="G78" s="11" t="s">
        <v>34</v>
      </c>
      <c r="H78" s="93">
        <v>1</v>
      </c>
      <c r="I78" s="74" t="s">
        <v>87</v>
      </c>
      <c r="J78" s="64" t="s">
        <v>83</v>
      </c>
    </row>
    <row r="79" spans="1:10" ht="19.5" customHeight="1" x14ac:dyDescent="0.25">
      <c r="A79" s="32">
        <v>58</v>
      </c>
      <c r="B79" s="7" t="s">
        <v>145</v>
      </c>
      <c r="C79" s="61">
        <v>0.83333333333333337</v>
      </c>
      <c r="D79" s="33" t="s">
        <v>80</v>
      </c>
      <c r="E79" s="73" t="s">
        <v>88</v>
      </c>
      <c r="F79" s="93">
        <v>1</v>
      </c>
      <c r="G79" s="11" t="s">
        <v>34</v>
      </c>
      <c r="H79" s="93">
        <v>3</v>
      </c>
      <c r="I79" s="74" t="s">
        <v>81</v>
      </c>
      <c r="J79" s="64" t="s">
        <v>115</v>
      </c>
    </row>
    <row r="80" spans="1:10" ht="19.5" customHeight="1" x14ac:dyDescent="0.25">
      <c r="A80" s="20">
        <v>59</v>
      </c>
      <c r="B80" s="7" t="s">
        <v>145</v>
      </c>
      <c r="C80" s="61">
        <v>0.95833333333333337</v>
      </c>
      <c r="D80" s="21" t="s">
        <v>55</v>
      </c>
      <c r="E80" s="67" t="s">
        <v>74</v>
      </c>
      <c r="F80" s="90">
        <v>1</v>
      </c>
      <c r="G80" s="11" t="s">
        <v>34</v>
      </c>
      <c r="H80" s="90">
        <v>3</v>
      </c>
      <c r="I80" s="68" t="s">
        <v>56</v>
      </c>
      <c r="J80" s="64" t="s">
        <v>58</v>
      </c>
    </row>
    <row r="81" spans="1:10" ht="19.5" customHeight="1" x14ac:dyDescent="0.25">
      <c r="A81" s="20">
        <v>60</v>
      </c>
      <c r="B81" s="7" t="s">
        <v>145</v>
      </c>
      <c r="C81" s="61">
        <v>0.95833333333333337</v>
      </c>
      <c r="D81" s="21" t="s">
        <v>55</v>
      </c>
      <c r="E81" s="67" t="s">
        <v>57</v>
      </c>
      <c r="F81" s="90">
        <v>2</v>
      </c>
      <c r="G81" s="11" t="s">
        <v>34</v>
      </c>
      <c r="H81" s="90">
        <v>1</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v>1</v>
      </c>
      <c r="G83" s="11" t="s">
        <v>34</v>
      </c>
      <c r="H83" s="96">
        <v>3</v>
      </c>
      <c r="I83" s="80" t="s">
        <v>108</v>
      </c>
      <c r="J83" s="64" t="s">
        <v>64</v>
      </c>
    </row>
    <row r="84" spans="1:10" ht="19.5" customHeight="1" x14ac:dyDescent="0.25">
      <c r="A84" s="44">
        <v>62</v>
      </c>
      <c r="B84" s="7" t="s">
        <v>147</v>
      </c>
      <c r="C84" s="61">
        <v>0.66666666666666663</v>
      </c>
      <c r="D84" s="45" t="s">
        <v>107</v>
      </c>
      <c r="E84" s="79" t="s">
        <v>109</v>
      </c>
      <c r="F84" s="96">
        <v>2</v>
      </c>
      <c r="G84" s="11" t="s">
        <v>34</v>
      </c>
      <c r="H84" s="96">
        <v>0</v>
      </c>
      <c r="I84" s="80" t="s">
        <v>110</v>
      </c>
      <c r="J84" s="64" t="s">
        <v>54</v>
      </c>
    </row>
    <row r="85" spans="1:10" ht="19.5" customHeight="1" x14ac:dyDescent="0.25">
      <c r="A85" s="36">
        <v>63</v>
      </c>
      <c r="B85" s="7" t="s">
        <v>147</v>
      </c>
      <c r="C85" s="61">
        <v>0.875</v>
      </c>
      <c r="D85" s="37" t="s">
        <v>92</v>
      </c>
      <c r="E85" s="75" t="s">
        <v>94</v>
      </c>
      <c r="F85" s="94">
        <v>0</v>
      </c>
      <c r="G85" s="11" t="s">
        <v>34</v>
      </c>
      <c r="H85" s="94">
        <v>2</v>
      </c>
      <c r="I85" s="76" t="s">
        <v>100</v>
      </c>
      <c r="J85" s="64" t="s">
        <v>79</v>
      </c>
    </row>
    <row r="86" spans="1:10" ht="19.5" customHeight="1" x14ac:dyDescent="0.25">
      <c r="A86" s="36">
        <v>64</v>
      </c>
      <c r="B86" s="7" t="s">
        <v>147</v>
      </c>
      <c r="C86" s="61">
        <v>0.875</v>
      </c>
      <c r="D86" s="37" t="s">
        <v>92</v>
      </c>
      <c r="E86" s="75" t="s">
        <v>101</v>
      </c>
      <c r="F86" s="94">
        <v>3</v>
      </c>
      <c r="G86" s="11" t="s">
        <v>34</v>
      </c>
      <c r="H86" s="94">
        <v>3</v>
      </c>
      <c r="I86" s="76" t="s">
        <v>93</v>
      </c>
      <c r="J86" s="64" t="s">
        <v>48</v>
      </c>
    </row>
    <row r="87" spans="1:10" ht="19.5" customHeight="1" x14ac:dyDescent="0.25">
      <c r="A87" s="40">
        <v>65</v>
      </c>
      <c r="B87" s="7" t="s">
        <v>147</v>
      </c>
      <c r="C87" s="61">
        <v>0.99930555555555556</v>
      </c>
      <c r="D87" s="41" t="s">
        <v>96</v>
      </c>
      <c r="E87" s="77" t="s">
        <v>98</v>
      </c>
      <c r="F87" s="95">
        <v>2</v>
      </c>
      <c r="G87" s="11" t="s">
        <v>34</v>
      </c>
      <c r="H87" s="95">
        <v>1</v>
      </c>
      <c r="I87" s="78" t="s">
        <v>103</v>
      </c>
      <c r="J87" s="64" t="s">
        <v>99</v>
      </c>
    </row>
    <row r="88" spans="1:10" ht="19.5" customHeight="1" x14ac:dyDescent="0.25">
      <c r="A88" s="40">
        <v>66</v>
      </c>
      <c r="B88" s="7" t="s">
        <v>147</v>
      </c>
      <c r="C88" s="61">
        <v>0.99930555555555556</v>
      </c>
      <c r="D88" s="41" t="s">
        <v>96</v>
      </c>
      <c r="E88" s="77" t="s">
        <v>104</v>
      </c>
      <c r="F88" s="95">
        <v>0</v>
      </c>
      <c r="G88" s="11" t="s">
        <v>34</v>
      </c>
      <c r="H88" s="95">
        <v>3</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0</v>
      </c>
      <c r="G90" s="11" t="s">
        <v>34</v>
      </c>
      <c r="H90" s="99">
        <v>2</v>
      </c>
      <c r="I90" s="86" t="s">
        <v>124</v>
      </c>
      <c r="J90" s="64" t="s">
        <v>67</v>
      </c>
    </row>
    <row r="91" spans="1:10" ht="19.5" customHeight="1" x14ac:dyDescent="0.25">
      <c r="A91" s="56">
        <v>68</v>
      </c>
      <c r="B91" s="7" t="s">
        <v>149</v>
      </c>
      <c r="C91" s="61">
        <v>0.75</v>
      </c>
      <c r="D91" s="57" t="s">
        <v>123</v>
      </c>
      <c r="E91" s="85" t="s">
        <v>125</v>
      </c>
      <c r="F91" s="99">
        <v>2</v>
      </c>
      <c r="G91" s="11" t="s">
        <v>34</v>
      </c>
      <c r="H91" s="99">
        <v>0</v>
      </c>
      <c r="I91" s="86" t="s">
        <v>126</v>
      </c>
      <c r="J91" s="64" t="s">
        <v>86</v>
      </c>
    </row>
    <row r="92" spans="1:10" ht="19.5" customHeight="1" x14ac:dyDescent="0.25">
      <c r="A92" s="52">
        <v>69</v>
      </c>
      <c r="B92" s="7" t="s">
        <v>149</v>
      </c>
      <c r="C92" s="61">
        <v>0.85416666666666663</v>
      </c>
      <c r="D92" s="53" t="s">
        <v>120</v>
      </c>
      <c r="E92" s="83" t="s">
        <v>129</v>
      </c>
      <c r="F92" s="98">
        <v>2</v>
      </c>
      <c r="G92" s="11" t="s">
        <v>34</v>
      </c>
      <c r="H92" s="98">
        <v>3</v>
      </c>
      <c r="I92" s="84" t="s">
        <v>121</v>
      </c>
      <c r="J92" s="64" t="s">
        <v>102</v>
      </c>
    </row>
    <row r="93" spans="1:10" ht="19.5" customHeight="1" x14ac:dyDescent="0.25">
      <c r="A93" s="52">
        <v>70</v>
      </c>
      <c r="B93" s="7" t="s">
        <v>149</v>
      </c>
      <c r="C93" s="61">
        <v>0.85416666666666663</v>
      </c>
      <c r="D93" s="53" t="s">
        <v>120</v>
      </c>
      <c r="E93" s="83" t="s">
        <v>122</v>
      </c>
      <c r="F93" s="98">
        <v>0</v>
      </c>
      <c r="G93" s="11" t="s">
        <v>34</v>
      </c>
      <c r="H93" s="98">
        <v>0</v>
      </c>
      <c r="I93" s="84" t="s">
        <v>128</v>
      </c>
      <c r="J93" s="64" t="s">
        <v>95</v>
      </c>
    </row>
    <row r="94" spans="1:10" ht="19.5" customHeight="1" x14ac:dyDescent="0.25">
      <c r="A94" s="48">
        <v>71</v>
      </c>
      <c r="B94" s="7" t="s">
        <v>149</v>
      </c>
      <c r="C94" s="61">
        <v>0.95833333333333337</v>
      </c>
      <c r="D94" s="49" t="s">
        <v>112</v>
      </c>
      <c r="E94" s="81" t="s">
        <v>114</v>
      </c>
      <c r="F94" s="97">
        <v>2</v>
      </c>
      <c r="G94" s="11" t="s">
        <v>34</v>
      </c>
      <c r="H94" s="97">
        <v>2</v>
      </c>
      <c r="I94" s="82" t="s">
        <v>118</v>
      </c>
      <c r="J94" s="64" t="s">
        <v>115</v>
      </c>
    </row>
    <row r="95" spans="1:10" ht="19.5" customHeight="1" x14ac:dyDescent="0.25">
      <c r="A95" s="48">
        <v>72</v>
      </c>
      <c r="B95" s="7" t="s">
        <v>149</v>
      </c>
      <c r="C95" s="61">
        <v>0.95833333333333337</v>
      </c>
      <c r="D95" s="49" t="s">
        <v>112</v>
      </c>
      <c r="E95" s="81" t="s">
        <v>119</v>
      </c>
      <c r="F95" s="97">
        <v>0</v>
      </c>
      <c r="G95" s="11" t="s">
        <v>34</v>
      </c>
      <c r="H95" s="97">
        <v>3</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23"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22"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A00-000000000000}">
      <formula1>DATE(2026,IF(RIGHT($B8,3)="ene",1,IF(RIGHT($B8,3)="feb",2,IF(RIGHT($B8,3)="mar",3,IF(RIGHT($B8,3)="abr",4,IF(RIGHT($B8,3)="may",5,IF(RIGHT($B8,3)="jun",6,IF(RIGHT($B8,3)="jul",7,IF(RIGHT($B8,3)="ago",8,IF(RIGHT($B8,3)="sep",9,IF(RIGHT($B8,3)="oct",10,IF(RIGHT($B8,3)="nov",11,12))))))))))),MID($B8,5,2))+$C8&gt;NOW()</formula1>
    </dataValidation>
  </dataValidations>
  <printOptions horizontalCentered="1" verticalCentered="1"/>
  <pageMargins left="0.19685039370078741" right="0.19685039370078741" top="0.19685039370078741" bottom="0.19685039370078741" header="0" footer="0"/>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J1000"/>
  <sheetViews>
    <sheetView topLeftCell="A67" zoomScaleNormal="100" workbookViewId="0">
      <selection activeCell="H69" sqref="H69:H74"/>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23</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0</v>
      </c>
      <c r="G8" s="11" t="s">
        <v>34</v>
      </c>
      <c r="H8" s="88">
        <v>1</v>
      </c>
      <c r="I8" s="63" t="s">
        <v>44</v>
      </c>
      <c r="J8" s="64" t="s">
        <v>45</v>
      </c>
    </row>
    <row r="9" spans="1:10" ht="19.5" customHeight="1" x14ac:dyDescent="0.25">
      <c r="A9" s="6">
        <v>2</v>
      </c>
      <c r="B9" s="7" t="s">
        <v>41</v>
      </c>
      <c r="C9" s="61">
        <v>0.95833333333333337</v>
      </c>
      <c r="D9" s="8" t="s">
        <v>42</v>
      </c>
      <c r="E9" s="62" t="s">
        <v>46</v>
      </c>
      <c r="F9" s="88">
        <v>0</v>
      </c>
      <c r="G9" s="11" t="s">
        <v>34</v>
      </c>
      <c r="H9" s="88">
        <v>2</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1</v>
      </c>
      <c r="G11" s="11" t="s">
        <v>34</v>
      </c>
      <c r="H11" s="89">
        <v>1</v>
      </c>
      <c r="I11" s="66" t="s">
        <v>53</v>
      </c>
      <c r="J11" s="64" t="s">
        <v>54</v>
      </c>
    </row>
    <row r="12" spans="1:10" ht="19.5" customHeight="1" x14ac:dyDescent="0.25">
      <c r="A12" s="20">
        <v>4</v>
      </c>
      <c r="B12" s="7" t="s">
        <v>50</v>
      </c>
      <c r="C12" s="61">
        <v>0.66666666666666663</v>
      </c>
      <c r="D12" s="21" t="s">
        <v>55</v>
      </c>
      <c r="E12" s="67" t="s">
        <v>56</v>
      </c>
      <c r="F12" s="90">
        <v>2</v>
      </c>
      <c r="G12" s="11" t="s">
        <v>34</v>
      </c>
      <c r="H12" s="90">
        <v>2</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0</v>
      </c>
      <c r="G14" s="11" t="s">
        <v>34</v>
      </c>
      <c r="H14" s="91">
        <v>3</v>
      </c>
      <c r="I14" s="70" t="s">
        <v>63</v>
      </c>
      <c r="J14" s="64" t="s">
        <v>64</v>
      </c>
    </row>
    <row r="15" spans="1:10" ht="19.5" customHeight="1" x14ac:dyDescent="0.25">
      <c r="A15" s="24">
        <v>6</v>
      </c>
      <c r="B15" s="7" t="s">
        <v>60</v>
      </c>
      <c r="C15" s="61">
        <v>0.79166666666666663</v>
      </c>
      <c r="D15" s="25" t="s">
        <v>61</v>
      </c>
      <c r="E15" s="69" t="s">
        <v>65</v>
      </c>
      <c r="F15" s="91">
        <v>3</v>
      </c>
      <c r="G15" s="11" t="s">
        <v>34</v>
      </c>
      <c r="H15" s="91">
        <v>0</v>
      </c>
      <c r="I15" s="70" t="s">
        <v>66</v>
      </c>
      <c r="J15" s="64" t="s">
        <v>67</v>
      </c>
    </row>
    <row r="16" spans="1:10" ht="19.5" customHeight="1" x14ac:dyDescent="0.25">
      <c r="A16" s="16">
        <v>7</v>
      </c>
      <c r="B16" s="7" t="s">
        <v>60</v>
      </c>
      <c r="C16" s="61">
        <v>0.66666666666666663</v>
      </c>
      <c r="D16" s="17" t="s">
        <v>51</v>
      </c>
      <c r="E16" s="65" t="s">
        <v>68</v>
      </c>
      <c r="F16" s="89">
        <v>0</v>
      </c>
      <c r="G16" s="11" t="s">
        <v>34</v>
      </c>
      <c r="H16" s="89">
        <v>0</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1</v>
      </c>
      <c r="G18" s="11" t="s">
        <v>34</v>
      </c>
      <c r="H18" s="90">
        <v>2</v>
      </c>
      <c r="I18" s="68" t="s">
        <v>74</v>
      </c>
      <c r="J18" s="64" t="s">
        <v>75</v>
      </c>
    </row>
    <row r="19" spans="1:10" ht="19.5" customHeight="1" x14ac:dyDescent="0.25">
      <c r="A19" s="28">
        <v>9</v>
      </c>
      <c r="B19" s="7" t="s">
        <v>72</v>
      </c>
      <c r="C19" s="61">
        <v>0.58333333333333337</v>
      </c>
      <c r="D19" s="29" t="s">
        <v>76</v>
      </c>
      <c r="E19" s="71" t="s">
        <v>77</v>
      </c>
      <c r="F19" s="92">
        <v>2</v>
      </c>
      <c r="G19" s="11" t="s">
        <v>34</v>
      </c>
      <c r="H19" s="92">
        <v>0</v>
      </c>
      <c r="I19" s="72" t="s">
        <v>78</v>
      </c>
      <c r="J19" s="64" t="s">
        <v>79</v>
      </c>
    </row>
    <row r="20" spans="1:10" ht="19.5" customHeight="1" x14ac:dyDescent="0.25">
      <c r="A20" s="32">
        <v>10</v>
      </c>
      <c r="B20" s="7" t="s">
        <v>72</v>
      </c>
      <c r="C20" s="61">
        <v>0.70833333333333337</v>
      </c>
      <c r="D20" s="33" t="s">
        <v>80</v>
      </c>
      <c r="E20" s="73" t="s">
        <v>81</v>
      </c>
      <c r="F20" s="93">
        <v>3</v>
      </c>
      <c r="G20" s="11" t="s">
        <v>34</v>
      </c>
      <c r="H20" s="93">
        <v>0</v>
      </c>
      <c r="I20" s="74" t="s">
        <v>82</v>
      </c>
      <c r="J20" s="64" t="s">
        <v>83</v>
      </c>
    </row>
    <row r="21" spans="1:10" ht="19.5" customHeight="1" x14ac:dyDescent="0.25">
      <c r="A21" s="28">
        <v>11</v>
      </c>
      <c r="B21" s="7" t="s">
        <v>72</v>
      </c>
      <c r="C21" s="61">
        <v>0.83333333333333337</v>
      </c>
      <c r="D21" s="29" t="s">
        <v>76</v>
      </c>
      <c r="E21" s="71" t="s">
        <v>84</v>
      </c>
      <c r="F21" s="92">
        <v>0</v>
      </c>
      <c r="G21" s="11" t="s">
        <v>34</v>
      </c>
      <c r="H21" s="92">
        <v>2</v>
      </c>
      <c r="I21" s="72" t="s">
        <v>85</v>
      </c>
      <c r="J21" s="64" t="s">
        <v>86</v>
      </c>
    </row>
    <row r="22" spans="1:10" ht="19.5" customHeight="1" x14ac:dyDescent="0.25">
      <c r="A22" s="32">
        <v>12</v>
      </c>
      <c r="B22" s="7" t="s">
        <v>72</v>
      </c>
      <c r="C22" s="61">
        <v>0.95833333333333337</v>
      </c>
      <c r="D22" s="33" t="s">
        <v>80</v>
      </c>
      <c r="E22" s="73" t="s">
        <v>87</v>
      </c>
      <c r="F22" s="93">
        <v>1</v>
      </c>
      <c r="G22" s="11" t="s">
        <v>34</v>
      </c>
      <c r="H22" s="93">
        <v>1</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2</v>
      </c>
      <c r="G24" s="11" t="s">
        <v>34</v>
      </c>
      <c r="H24" s="94">
        <v>0</v>
      </c>
      <c r="I24" s="76" t="s">
        <v>94</v>
      </c>
      <c r="J24" s="64" t="s">
        <v>95</v>
      </c>
    </row>
    <row r="25" spans="1:10" ht="19.5" customHeight="1" x14ac:dyDescent="0.25">
      <c r="A25" s="40">
        <v>14</v>
      </c>
      <c r="B25" s="7" t="s">
        <v>91</v>
      </c>
      <c r="C25" s="61">
        <v>0.66666666666666663</v>
      </c>
      <c r="D25" s="41" t="s">
        <v>96</v>
      </c>
      <c r="E25" s="77" t="s">
        <v>97</v>
      </c>
      <c r="F25" s="95">
        <v>1</v>
      </c>
      <c r="G25" s="11" t="s">
        <v>34</v>
      </c>
      <c r="H25" s="95">
        <v>1</v>
      </c>
      <c r="I25" s="78" t="s">
        <v>98</v>
      </c>
      <c r="J25" s="64" t="s">
        <v>99</v>
      </c>
    </row>
    <row r="26" spans="1:10" ht="19.5" customHeight="1" x14ac:dyDescent="0.25">
      <c r="A26" s="36">
        <v>15</v>
      </c>
      <c r="B26" s="7" t="s">
        <v>91</v>
      </c>
      <c r="C26" s="61">
        <v>0.79166666666666663</v>
      </c>
      <c r="D26" s="37" t="s">
        <v>92</v>
      </c>
      <c r="E26" s="75" t="s">
        <v>100</v>
      </c>
      <c r="F26" s="94">
        <v>0</v>
      </c>
      <c r="G26" s="11" t="s">
        <v>34</v>
      </c>
      <c r="H26" s="94">
        <v>2</v>
      </c>
      <c r="I26" s="76" t="s">
        <v>101</v>
      </c>
      <c r="J26" s="64" t="s">
        <v>102</v>
      </c>
    </row>
    <row r="27" spans="1:10" ht="19.5" customHeight="1" x14ac:dyDescent="0.25">
      <c r="A27" s="40">
        <v>16</v>
      </c>
      <c r="B27" s="7" t="s">
        <v>91</v>
      </c>
      <c r="C27" s="61">
        <v>0.91666666666666663</v>
      </c>
      <c r="D27" s="41" t="s">
        <v>96</v>
      </c>
      <c r="E27" s="77" t="s">
        <v>103</v>
      </c>
      <c r="F27" s="95">
        <v>2</v>
      </c>
      <c r="G27" s="11" t="s">
        <v>34</v>
      </c>
      <c r="H27" s="95">
        <v>0</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3</v>
      </c>
      <c r="G29" s="11" t="s">
        <v>34</v>
      </c>
      <c r="H29" s="96">
        <v>0</v>
      </c>
      <c r="I29" s="80" t="s">
        <v>109</v>
      </c>
      <c r="J29" s="64" t="s">
        <v>67</v>
      </c>
    </row>
    <row r="30" spans="1:10" ht="19.5" customHeight="1" x14ac:dyDescent="0.25">
      <c r="A30" s="44">
        <v>18</v>
      </c>
      <c r="B30" s="7" t="s">
        <v>106</v>
      </c>
      <c r="C30" s="61">
        <v>0.79166666666666663</v>
      </c>
      <c r="D30" s="45" t="s">
        <v>107</v>
      </c>
      <c r="E30" s="79" t="s">
        <v>110</v>
      </c>
      <c r="F30" s="96">
        <v>1</v>
      </c>
      <c r="G30" s="11" t="s">
        <v>34</v>
      </c>
      <c r="H30" s="96">
        <v>3</v>
      </c>
      <c r="I30" s="80" t="s">
        <v>111</v>
      </c>
      <c r="J30" s="64" t="s">
        <v>64</v>
      </c>
    </row>
    <row r="31" spans="1:10" ht="19.5" customHeight="1" x14ac:dyDescent="0.25">
      <c r="A31" s="48">
        <v>19</v>
      </c>
      <c r="B31" s="7" t="s">
        <v>106</v>
      </c>
      <c r="C31" s="61">
        <v>0.91666666666666663</v>
      </c>
      <c r="D31" s="49" t="s">
        <v>112</v>
      </c>
      <c r="E31" s="81" t="s">
        <v>113</v>
      </c>
      <c r="F31" s="97">
        <v>2</v>
      </c>
      <c r="G31" s="11" t="s">
        <v>34</v>
      </c>
      <c r="H31" s="97">
        <v>1</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2</v>
      </c>
      <c r="G33" s="11" t="s">
        <v>34</v>
      </c>
      <c r="H33" s="97">
        <v>2</v>
      </c>
      <c r="I33" s="82" t="s">
        <v>119</v>
      </c>
      <c r="J33" s="64" t="s">
        <v>70</v>
      </c>
    </row>
    <row r="34" spans="1:10" ht="19.5" customHeight="1" x14ac:dyDescent="0.25">
      <c r="A34" s="52">
        <v>21</v>
      </c>
      <c r="B34" s="7" t="s">
        <v>117</v>
      </c>
      <c r="C34" s="61">
        <v>0.58333333333333337</v>
      </c>
      <c r="D34" s="53" t="s">
        <v>120</v>
      </c>
      <c r="E34" s="83" t="s">
        <v>121</v>
      </c>
      <c r="F34" s="98">
        <v>4</v>
      </c>
      <c r="G34" s="11" t="s">
        <v>34</v>
      </c>
      <c r="H34" s="98">
        <v>0</v>
      </c>
      <c r="I34" s="84" t="s">
        <v>122</v>
      </c>
      <c r="J34" s="64" t="s">
        <v>79</v>
      </c>
    </row>
    <row r="35" spans="1:10" ht="19.5" customHeight="1" x14ac:dyDescent="0.25">
      <c r="A35" s="56">
        <v>22</v>
      </c>
      <c r="B35" s="7" t="s">
        <v>117</v>
      </c>
      <c r="C35" s="61">
        <v>0.70833333333333337</v>
      </c>
      <c r="D35" s="57" t="s">
        <v>123</v>
      </c>
      <c r="E35" s="85" t="s">
        <v>124</v>
      </c>
      <c r="F35" s="99">
        <v>0</v>
      </c>
      <c r="G35" s="11" t="s">
        <v>34</v>
      </c>
      <c r="H35" s="99">
        <v>1</v>
      </c>
      <c r="I35" s="86" t="s">
        <v>125</v>
      </c>
      <c r="J35" s="64" t="s">
        <v>83</v>
      </c>
    </row>
    <row r="36" spans="1:10" ht="19.5" customHeight="1" x14ac:dyDescent="0.25">
      <c r="A36" s="56">
        <v>23</v>
      </c>
      <c r="B36" s="7" t="s">
        <v>117</v>
      </c>
      <c r="C36" s="61">
        <v>0.83333333333333337</v>
      </c>
      <c r="D36" s="57" t="s">
        <v>123</v>
      </c>
      <c r="E36" s="85" t="s">
        <v>126</v>
      </c>
      <c r="F36" s="99">
        <v>1</v>
      </c>
      <c r="G36" s="11" t="s">
        <v>34</v>
      </c>
      <c r="H36" s="99">
        <v>1</v>
      </c>
      <c r="I36" s="86" t="s">
        <v>127</v>
      </c>
      <c r="J36" s="64" t="s">
        <v>54</v>
      </c>
    </row>
    <row r="37" spans="1:10" ht="19.5" customHeight="1" x14ac:dyDescent="0.25">
      <c r="A37" s="52">
        <v>24</v>
      </c>
      <c r="B37" s="7" t="s">
        <v>117</v>
      </c>
      <c r="C37" s="61">
        <v>0.95833333333333337</v>
      </c>
      <c r="D37" s="53" t="s">
        <v>120</v>
      </c>
      <c r="E37" s="83" t="s">
        <v>128</v>
      </c>
      <c r="F37" s="98">
        <v>0</v>
      </c>
      <c r="G37" s="11" t="s">
        <v>34</v>
      </c>
      <c r="H37" s="98">
        <v>1</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0</v>
      </c>
      <c r="G39" s="11" t="s">
        <v>34</v>
      </c>
      <c r="H39" s="88">
        <v>2</v>
      </c>
      <c r="I39" s="63" t="s">
        <v>44</v>
      </c>
      <c r="J39" s="64" t="s">
        <v>95</v>
      </c>
    </row>
    <row r="40" spans="1:10" ht="19.5" customHeight="1" x14ac:dyDescent="0.25">
      <c r="A40" s="16">
        <v>26</v>
      </c>
      <c r="B40" s="7" t="s">
        <v>131</v>
      </c>
      <c r="C40" s="61">
        <v>0.66666666666666663</v>
      </c>
      <c r="D40" s="17" t="s">
        <v>51</v>
      </c>
      <c r="E40" s="65" t="s">
        <v>69</v>
      </c>
      <c r="F40" s="89">
        <v>2</v>
      </c>
      <c r="G40" s="11" t="s">
        <v>34</v>
      </c>
      <c r="H40" s="89">
        <v>0</v>
      </c>
      <c r="I40" s="66" t="s">
        <v>53</v>
      </c>
      <c r="J40" s="64" t="s">
        <v>58</v>
      </c>
    </row>
    <row r="41" spans="1:10" ht="19.5" customHeight="1" x14ac:dyDescent="0.25">
      <c r="A41" s="16">
        <v>27</v>
      </c>
      <c r="B41" s="7" t="s">
        <v>131</v>
      </c>
      <c r="C41" s="61">
        <v>0.79166666666666663</v>
      </c>
      <c r="D41" s="17" t="s">
        <v>51</v>
      </c>
      <c r="E41" s="65" t="s">
        <v>52</v>
      </c>
      <c r="F41" s="89">
        <v>1</v>
      </c>
      <c r="G41" s="11" t="s">
        <v>34</v>
      </c>
      <c r="H41" s="89">
        <v>1</v>
      </c>
      <c r="I41" s="66" t="s">
        <v>68</v>
      </c>
      <c r="J41" s="64" t="s">
        <v>75</v>
      </c>
    </row>
    <row r="42" spans="1:10" ht="19.5" customHeight="1" x14ac:dyDescent="0.25">
      <c r="A42" s="6">
        <v>28</v>
      </c>
      <c r="B42" s="7" t="s">
        <v>131</v>
      </c>
      <c r="C42" s="61">
        <v>0.91666666666666663</v>
      </c>
      <c r="D42" s="8" t="s">
        <v>42</v>
      </c>
      <c r="E42" s="62" t="s">
        <v>43</v>
      </c>
      <c r="F42" s="88">
        <v>1</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0</v>
      </c>
      <c r="I44" s="68" t="s">
        <v>73</v>
      </c>
      <c r="J44" s="64" t="s">
        <v>99</v>
      </c>
    </row>
    <row r="45" spans="1:10" ht="19.5" customHeight="1" x14ac:dyDescent="0.25">
      <c r="A45" s="24">
        <v>30</v>
      </c>
      <c r="B45" s="7" t="s">
        <v>133</v>
      </c>
      <c r="C45" s="61">
        <v>0.79166666666666663</v>
      </c>
      <c r="D45" s="25" t="s">
        <v>61</v>
      </c>
      <c r="E45" s="69" t="s">
        <v>63</v>
      </c>
      <c r="F45" s="91">
        <v>3</v>
      </c>
      <c r="G45" s="11" t="s">
        <v>34</v>
      </c>
      <c r="H45" s="91">
        <v>0</v>
      </c>
      <c r="I45" s="70" t="s">
        <v>66</v>
      </c>
      <c r="J45" s="64" t="s">
        <v>64</v>
      </c>
    </row>
    <row r="46" spans="1:10" ht="19.5" customHeight="1" x14ac:dyDescent="0.25">
      <c r="A46" s="24">
        <v>31</v>
      </c>
      <c r="B46" s="7" t="s">
        <v>133</v>
      </c>
      <c r="C46" s="61">
        <v>0.89583333333333337</v>
      </c>
      <c r="D46" s="25" t="s">
        <v>61</v>
      </c>
      <c r="E46" s="69" t="s">
        <v>65</v>
      </c>
      <c r="F46" s="91">
        <v>4</v>
      </c>
      <c r="G46" s="11" t="s">
        <v>34</v>
      </c>
      <c r="H46" s="91">
        <v>0</v>
      </c>
      <c r="I46" s="70" t="s">
        <v>62</v>
      </c>
      <c r="J46" s="64" t="s">
        <v>86</v>
      </c>
    </row>
    <row r="47" spans="1:10" ht="19.5" customHeight="1" x14ac:dyDescent="0.25">
      <c r="A47" s="20">
        <v>32</v>
      </c>
      <c r="B47" s="7" t="s">
        <v>133</v>
      </c>
      <c r="C47" s="61">
        <v>0.99930555555555556</v>
      </c>
      <c r="D47" s="21" t="s">
        <v>55</v>
      </c>
      <c r="E47" s="67" t="s">
        <v>74</v>
      </c>
      <c r="F47" s="90">
        <v>2</v>
      </c>
      <c r="G47" s="11" t="s">
        <v>34</v>
      </c>
      <c r="H47" s="90">
        <v>0</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1</v>
      </c>
      <c r="G49" s="11" t="s">
        <v>34</v>
      </c>
      <c r="H49" s="93">
        <v>0</v>
      </c>
      <c r="I49" s="74" t="s">
        <v>87</v>
      </c>
      <c r="J49" s="64" t="s">
        <v>79</v>
      </c>
    </row>
    <row r="50" spans="1:10" ht="19.5" customHeight="1" x14ac:dyDescent="0.25">
      <c r="A50" s="28">
        <v>34</v>
      </c>
      <c r="B50" s="7" t="s">
        <v>135</v>
      </c>
      <c r="C50" s="61">
        <v>0.70833333333333337</v>
      </c>
      <c r="D50" s="29" t="s">
        <v>76</v>
      </c>
      <c r="E50" s="71" t="s">
        <v>77</v>
      </c>
      <c r="F50" s="92">
        <v>2</v>
      </c>
      <c r="G50" s="11" t="s">
        <v>34</v>
      </c>
      <c r="H50" s="92">
        <v>0</v>
      </c>
      <c r="I50" s="72" t="s">
        <v>84</v>
      </c>
      <c r="J50" s="64" t="s">
        <v>54</v>
      </c>
    </row>
    <row r="51" spans="1:10" ht="19.5" customHeight="1" x14ac:dyDescent="0.25">
      <c r="A51" s="28">
        <v>35</v>
      </c>
      <c r="B51" s="7" t="s">
        <v>135</v>
      </c>
      <c r="C51" s="61">
        <v>0.875</v>
      </c>
      <c r="D51" s="29" t="s">
        <v>76</v>
      </c>
      <c r="E51" s="71" t="s">
        <v>85</v>
      </c>
      <c r="F51" s="92">
        <v>2</v>
      </c>
      <c r="G51" s="11" t="s">
        <v>34</v>
      </c>
      <c r="H51" s="92">
        <v>1</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0</v>
      </c>
      <c r="G53" s="11" t="s">
        <v>34</v>
      </c>
      <c r="H53" s="93">
        <v>3</v>
      </c>
      <c r="I53" s="74" t="s">
        <v>82</v>
      </c>
      <c r="J53" s="64" t="s">
        <v>89</v>
      </c>
    </row>
    <row r="54" spans="1:10" ht="19.5" customHeight="1" x14ac:dyDescent="0.25">
      <c r="A54" s="36">
        <v>37</v>
      </c>
      <c r="B54" s="7" t="s">
        <v>137</v>
      </c>
      <c r="C54" s="61">
        <v>0.54166666666666663</v>
      </c>
      <c r="D54" s="37" t="s">
        <v>92</v>
      </c>
      <c r="E54" s="75" t="s">
        <v>93</v>
      </c>
      <c r="F54" s="94">
        <v>2</v>
      </c>
      <c r="G54" s="11" t="s">
        <v>34</v>
      </c>
      <c r="H54" s="94">
        <v>0</v>
      </c>
      <c r="I54" s="76" t="s">
        <v>100</v>
      </c>
      <c r="J54" s="64" t="s">
        <v>95</v>
      </c>
    </row>
    <row r="55" spans="1:10" ht="19.5" customHeight="1" x14ac:dyDescent="0.25">
      <c r="A55" s="40">
        <v>38</v>
      </c>
      <c r="B55" s="7" t="s">
        <v>137</v>
      </c>
      <c r="C55" s="61">
        <v>0.66666666666666663</v>
      </c>
      <c r="D55" s="41" t="s">
        <v>96</v>
      </c>
      <c r="E55" s="77" t="s">
        <v>97</v>
      </c>
      <c r="F55" s="95">
        <v>3</v>
      </c>
      <c r="G55" s="11" t="s">
        <v>34</v>
      </c>
      <c r="H55" s="95">
        <v>0</v>
      </c>
      <c r="I55" s="78" t="s">
        <v>103</v>
      </c>
      <c r="J55" s="64" t="s">
        <v>58</v>
      </c>
    </row>
    <row r="56" spans="1:10" ht="19.5" customHeight="1" x14ac:dyDescent="0.25">
      <c r="A56" s="36">
        <v>39</v>
      </c>
      <c r="B56" s="7" t="s">
        <v>137</v>
      </c>
      <c r="C56" s="61">
        <v>0.79166666666666663</v>
      </c>
      <c r="D56" s="37" t="s">
        <v>92</v>
      </c>
      <c r="E56" s="75" t="s">
        <v>101</v>
      </c>
      <c r="F56" s="94">
        <v>1</v>
      </c>
      <c r="G56" s="11" t="s">
        <v>34</v>
      </c>
      <c r="H56" s="94">
        <v>0</v>
      </c>
      <c r="I56" s="76" t="s">
        <v>94</v>
      </c>
      <c r="J56" s="64" t="s">
        <v>102</v>
      </c>
    </row>
    <row r="57" spans="1:10" ht="19.5" customHeight="1" x14ac:dyDescent="0.25">
      <c r="A57" s="40">
        <v>40</v>
      </c>
      <c r="B57" s="7" t="s">
        <v>137</v>
      </c>
      <c r="C57" s="61">
        <v>0.91666666666666663</v>
      </c>
      <c r="D57" s="41" t="s">
        <v>96</v>
      </c>
      <c r="E57" s="77" t="s">
        <v>104</v>
      </c>
      <c r="F57" s="95">
        <v>0</v>
      </c>
      <c r="G57" s="11" t="s">
        <v>34</v>
      </c>
      <c r="H57" s="95">
        <v>1</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3</v>
      </c>
      <c r="G59" s="11" t="s">
        <v>34</v>
      </c>
      <c r="H59" s="97">
        <v>0</v>
      </c>
      <c r="I59" s="82" t="s">
        <v>118</v>
      </c>
      <c r="J59" s="64" t="s">
        <v>83</v>
      </c>
    </row>
    <row r="60" spans="1:10" ht="19.5" customHeight="1" x14ac:dyDescent="0.25">
      <c r="A60" s="44">
        <v>42</v>
      </c>
      <c r="B60" s="7" t="s">
        <v>139</v>
      </c>
      <c r="C60" s="61">
        <v>0.75</v>
      </c>
      <c r="D60" s="45" t="s">
        <v>107</v>
      </c>
      <c r="E60" s="79" t="s">
        <v>108</v>
      </c>
      <c r="F60" s="96">
        <v>2</v>
      </c>
      <c r="G60" s="11" t="s">
        <v>34</v>
      </c>
      <c r="H60" s="96">
        <v>0</v>
      </c>
      <c r="I60" s="80" t="s">
        <v>110</v>
      </c>
      <c r="J60" s="64" t="s">
        <v>86</v>
      </c>
    </row>
    <row r="61" spans="1:10" ht="19.5" customHeight="1" x14ac:dyDescent="0.25">
      <c r="A61" s="44">
        <v>43</v>
      </c>
      <c r="B61" s="7" t="s">
        <v>139</v>
      </c>
      <c r="C61" s="61">
        <v>0.875</v>
      </c>
      <c r="D61" s="45" t="s">
        <v>107</v>
      </c>
      <c r="E61" s="79" t="s">
        <v>111</v>
      </c>
      <c r="F61" s="96">
        <v>1</v>
      </c>
      <c r="G61" s="11" t="s">
        <v>34</v>
      </c>
      <c r="H61" s="96">
        <v>2</v>
      </c>
      <c r="I61" s="80" t="s">
        <v>109</v>
      </c>
      <c r="J61" s="64" t="s">
        <v>67</v>
      </c>
    </row>
    <row r="62" spans="1:10" ht="19.5" customHeight="1" x14ac:dyDescent="0.25">
      <c r="A62" s="48">
        <v>44</v>
      </c>
      <c r="B62" s="7" t="s">
        <v>139</v>
      </c>
      <c r="C62" s="61">
        <v>0.99930555555555556</v>
      </c>
      <c r="D62" s="49" t="s">
        <v>112</v>
      </c>
      <c r="E62" s="81" t="s">
        <v>119</v>
      </c>
      <c r="F62" s="97">
        <v>0</v>
      </c>
      <c r="G62" s="11" t="s">
        <v>34</v>
      </c>
      <c r="H62" s="97">
        <v>3</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2</v>
      </c>
      <c r="G64" s="11" t="s">
        <v>34</v>
      </c>
      <c r="H64" s="98">
        <v>0</v>
      </c>
      <c r="I64" s="84" t="s">
        <v>128</v>
      </c>
      <c r="J64" s="64" t="s">
        <v>79</v>
      </c>
    </row>
    <row r="65" spans="1:10" ht="19.5" customHeight="1" x14ac:dyDescent="0.25">
      <c r="A65" s="56">
        <v>46</v>
      </c>
      <c r="B65" s="7" t="s">
        <v>141</v>
      </c>
      <c r="C65" s="61">
        <v>0.70833333333333337</v>
      </c>
      <c r="D65" s="57" t="s">
        <v>123</v>
      </c>
      <c r="E65" s="85" t="s">
        <v>124</v>
      </c>
      <c r="F65" s="99">
        <v>3</v>
      </c>
      <c r="G65" s="11" t="s">
        <v>34</v>
      </c>
      <c r="H65" s="99">
        <v>0</v>
      </c>
      <c r="I65" s="86" t="s">
        <v>126</v>
      </c>
      <c r="J65" s="64" t="s">
        <v>64</v>
      </c>
    </row>
    <row r="66" spans="1:10" ht="19.5" customHeight="1" x14ac:dyDescent="0.25">
      <c r="A66" s="56">
        <v>47</v>
      </c>
      <c r="B66" s="7" t="s">
        <v>141</v>
      </c>
      <c r="C66" s="61">
        <v>0.83333333333333337</v>
      </c>
      <c r="D66" s="57" t="s">
        <v>123</v>
      </c>
      <c r="E66" s="85" t="s">
        <v>127</v>
      </c>
      <c r="F66" s="99">
        <v>0</v>
      </c>
      <c r="G66" s="11" t="s">
        <v>34</v>
      </c>
      <c r="H66" s="99">
        <v>4</v>
      </c>
      <c r="I66" s="86" t="s">
        <v>125</v>
      </c>
      <c r="J66" s="64" t="s">
        <v>54</v>
      </c>
    </row>
    <row r="67" spans="1:10" ht="19.5" customHeight="1" x14ac:dyDescent="0.25">
      <c r="A67" s="52">
        <v>48</v>
      </c>
      <c r="B67" s="7" t="s">
        <v>141</v>
      </c>
      <c r="C67" s="61">
        <v>0.95833333333333337</v>
      </c>
      <c r="D67" s="53" t="s">
        <v>120</v>
      </c>
      <c r="E67" s="83" t="s">
        <v>129</v>
      </c>
      <c r="F67" s="98">
        <v>3</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2</v>
      </c>
      <c r="G69" s="11" t="s">
        <v>34</v>
      </c>
      <c r="H69" s="89">
        <v>0</v>
      </c>
      <c r="I69" s="66" t="s">
        <v>52</v>
      </c>
      <c r="J69" s="64" t="s">
        <v>75</v>
      </c>
    </row>
    <row r="70" spans="1:10" ht="19.5" customHeight="1" x14ac:dyDescent="0.25">
      <c r="A70" s="16">
        <v>50</v>
      </c>
      <c r="B70" s="7" t="s">
        <v>143</v>
      </c>
      <c r="C70" s="61">
        <v>0.66666666666666663</v>
      </c>
      <c r="D70" s="17" t="s">
        <v>51</v>
      </c>
      <c r="E70" s="65" t="s">
        <v>53</v>
      </c>
      <c r="F70" s="89">
        <v>2</v>
      </c>
      <c r="G70" s="11" t="s">
        <v>34</v>
      </c>
      <c r="H70" s="89">
        <v>0</v>
      </c>
      <c r="I70" s="66" t="s">
        <v>68</v>
      </c>
      <c r="J70" s="64" t="s">
        <v>99</v>
      </c>
    </row>
    <row r="71" spans="1:10" ht="19.5" customHeight="1" x14ac:dyDescent="0.25">
      <c r="A71" s="24">
        <v>51</v>
      </c>
      <c r="B71" s="7" t="s">
        <v>143</v>
      </c>
      <c r="C71" s="61">
        <v>0.79166666666666663</v>
      </c>
      <c r="D71" s="25" t="s">
        <v>61</v>
      </c>
      <c r="E71" s="69" t="s">
        <v>63</v>
      </c>
      <c r="F71" s="91">
        <v>0</v>
      </c>
      <c r="G71" s="11" t="s">
        <v>34</v>
      </c>
      <c r="H71" s="91">
        <v>4</v>
      </c>
      <c r="I71" s="70" t="s">
        <v>65</v>
      </c>
      <c r="J71" s="64" t="s">
        <v>102</v>
      </c>
    </row>
    <row r="72" spans="1:10" ht="19.5" customHeight="1" x14ac:dyDescent="0.25">
      <c r="A72" s="24">
        <v>52</v>
      </c>
      <c r="B72" s="7" t="s">
        <v>143</v>
      </c>
      <c r="C72" s="61">
        <v>0.79166666666666663</v>
      </c>
      <c r="D72" s="25" t="s">
        <v>61</v>
      </c>
      <c r="E72" s="69" t="s">
        <v>66</v>
      </c>
      <c r="F72" s="91">
        <v>1</v>
      </c>
      <c r="G72" s="11" t="s">
        <v>34</v>
      </c>
      <c r="H72" s="91">
        <v>0</v>
      </c>
      <c r="I72" s="70" t="s">
        <v>62</v>
      </c>
      <c r="J72" s="64" t="s">
        <v>95</v>
      </c>
    </row>
    <row r="73" spans="1:10" ht="19.5" customHeight="1" x14ac:dyDescent="0.25">
      <c r="A73" s="6">
        <v>53</v>
      </c>
      <c r="B73" s="7" t="s">
        <v>143</v>
      </c>
      <c r="C73" s="61">
        <v>0.91666666666666663</v>
      </c>
      <c r="D73" s="8" t="s">
        <v>42</v>
      </c>
      <c r="E73" s="62" t="s">
        <v>47</v>
      </c>
      <c r="F73" s="88">
        <v>1</v>
      </c>
      <c r="G73" s="11" t="s">
        <v>34</v>
      </c>
      <c r="H73" s="88">
        <v>2</v>
      </c>
      <c r="I73" s="63" t="s">
        <v>43</v>
      </c>
      <c r="J73" s="64" t="s">
        <v>45</v>
      </c>
    </row>
    <row r="74" spans="1:10" ht="19.5" customHeight="1" x14ac:dyDescent="0.25">
      <c r="A74" s="6">
        <v>54</v>
      </c>
      <c r="B74" s="7" t="s">
        <v>143</v>
      </c>
      <c r="C74" s="61">
        <v>0.91666666666666663</v>
      </c>
      <c r="D74" s="8" t="s">
        <v>42</v>
      </c>
      <c r="E74" s="62" t="s">
        <v>44</v>
      </c>
      <c r="F74" s="88">
        <v>1</v>
      </c>
      <c r="G74" s="11" t="s">
        <v>34</v>
      </c>
      <c r="H74" s="88">
        <v>2</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c r="G76" s="11" t="s">
        <v>34</v>
      </c>
      <c r="H76" s="92"/>
      <c r="I76" s="72" t="s">
        <v>84</v>
      </c>
      <c r="J76" s="64" t="s">
        <v>86</v>
      </c>
    </row>
    <row r="77" spans="1:10" ht="19.5" customHeight="1" x14ac:dyDescent="0.25">
      <c r="A77" s="28">
        <v>56</v>
      </c>
      <c r="B77" s="7" t="s">
        <v>145</v>
      </c>
      <c r="C77" s="61">
        <v>0.70833333333333337</v>
      </c>
      <c r="D77" s="29" t="s">
        <v>76</v>
      </c>
      <c r="E77" s="71" t="s">
        <v>85</v>
      </c>
      <c r="F77" s="92"/>
      <c r="G77" s="11" t="s">
        <v>34</v>
      </c>
      <c r="H77" s="92"/>
      <c r="I77" s="72" t="s">
        <v>77</v>
      </c>
      <c r="J77" s="64" t="s">
        <v>67</v>
      </c>
    </row>
    <row r="78" spans="1:10" ht="19.5" customHeight="1" x14ac:dyDescent="0.25">
      <c r="A78" s="32">
        <v>57</v>
      </c>
      <c r="B78" s="7" t="s">
        <v>145</v>
      </c>
      <c r="C78" s="61">
        <v>0.83333333333333337</v>
      </c>
      <c r="D78" s="33" t="s">
        <v>80</v>
      </c>
      <c r="E78" s="73" t="s">
        <v>82</v>
      </c>
      <c r="F78" s="93"/>
      <c r="G78" s="11" t="s">
        <v>34</v>
      </c>
      <c r="H78" s="93"/>
      <c r="I78" s="74" t="s">
        <v>87</v>
      </c>
      <c r="J78" s="64" t="s">
        <v>83</v>
      </c>
    </row>
    <row r="79" spans="1:10" ht="19.5" customHeight="1" x14ac:dyDescent="0.25">
      <c r="A79" s="32">
        <v>58</v>
      </c>
      <c r="B79" s="7" t="s">
        <v>145</v>
      </c>
      <c r="C79" s="61">
        <v>0.83333333333333337</v>
      </c>
      <c r="D79" s="33" t="s">
        <v>80</v>
      </c>
      <c r="E79" s="73" t="s">
        <v>88</v>
      </c>
      <c r="F79" s="93"/>
      <c r="G79" s="11" t="s">
        <v>34</v>
      </c>
      <c r="H79" s="93"/>
      <c r="I79" s="74" t="s">
        <v>81</v>
      </c>
      <c r="J79" s="64" t="s">
        <v>115</v>
      </c>
    </row>
    <row r="80" spans="1:10" ht="19.5" customHeight="1" x14ac:dyDescent="0.25">
      <c r="A80" s="20">
        <v>59</v>
      </c>
      <c r="B80" s="7" t="s">
        <v>145</v>
      </c>
      <c r="C80" s="61">
        <v>0.95833333333333337</v>
      </c>
      <c r="D80" s="21" t="s">
        <v>55</v>
      </c>
      <c r="E80" s="67" t="s">
        <v>74</v>
      </c>
      <c r="F80" s="90"/>
      <c r="G80" s="11" t="s">
        <v>34</v>
      </c>
      <c r="H80" s="90"/>
      <c r="I80" s="68" t="s">
        <v>56</v>
      </c>
      <c r="J80" s="64" t="s">
        <v>58</v>
      </c>
    </row>
    <row r="81" spans="1:10" ht="19.5" customHeight="1" x14ac:dyDescent="0.25">
      <c r="A81" s="20">
        <v>60</v>
      </c>
      <c r="B81" s="7" t="s">
        <v>145</v>
      </c>
      <c r="C81" s="61">
        <v>0.95833333333333337</v>
      </c>
      <c r="D81" s="21" t="s">
        <v>55</v>
      </c>
      <c r="E81" s="67" t="s">
        <v>57</v>
      </c>
      <c r="F81" s="90"/>
      <c r="G81" s="11" t="s">
        <v>34</v>
      </c>
      <c r="H81" s="90"/>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c r="G83" s="11" t="s">
        <v>34</v>
      </c>
      <c r="H83" s="96"/>
      <c r="I83" s="80" t="s">
        <v>108</v>
      </c>
      <c r="J83" s="64" t="s">
        <v>64</v>
      </c>
    </row>
    <row r="84" spans="1:10" ht="19.5" customHeight="1" x14ac:dyDescent="0.25">
      <c r="A84" s="44">
        <v>62</v>
      </c>
      <c r="B84" s="7" t="s">
        <v>147</v>
      </c>
      <c r="C84" s="61">
        <v>0.66666666666666663</v>
      </c>
      <c r="D84" s="45" t="s">
        <v>107</v>
      </c>
      <c r="E84" s="79" t="s">
        <v>109</v>
      </c>
      <c r="F84" s="96"/>
      <c r="G84" s="11" t="s">
        <v>34</v>
      </c>
      <c r="H84" s="96"/>
      <c r="I84" s="80" t="s">
        <v>110</v>
      </c>
      <c r="J84" s="64" t="s">
        <v>54</v>
      </c>
    </row>
    <row r="85" spans="1:10" ht="19.5" customHeight="1" x14ac:dyDescent="0.25">
      <c r="A85" s="36">
        <v>63</v>
      </c>
      <c r="B85" s="7" t="s">
        <v>147</v>
      </c>
      <c r="C85" s="61">
        <v>0.875</v>
      </c>
      <c r="D85" s="37" t="s">
        <v>92</v>
      </c>
      <c r="E85" s="75" t="s">
        <v>94</v>
      </c>
      <c r="F85" s="94"/>
      <c r="G85" s="11" t="s">
        <v>34</v>
      </c>
      <c r="H85" s="94"/>
      <c r="I85" s="76" t="s">
        <v>100</v>
      </c>
      <c r="J85" s="64" t="s">
        <v>79</v>
      </c>
    </row>
    <row r="86" spans="1:10" ht="19.5" customHeight="1" x14ac:dyDescent="0.25">
      <c r="A86" s="36">
        <v>64</v>
      </c>
      <c r="B86" s="7" t="s">
        <v>147</v>
      </c>
      <c r="C86" s="61">
        <v>0.875</v>
      </c>
      <c r="D86" s="37" t="s">
        <v>92</v>
      </c>
      <c r="E86" s="75" t="s">
        <v>101</v>
      </c>
      <c r="F86" s="94"/>
      <c r="G86" s="11" t="s">
        <v>34</v>
      </c>
      <c r="H86" s="94"/>
      <c r="I86" s="76" t="s">
        <v>93</v>
      </c>
      <c r="J86" s="64" t="s">
        <v>48</v>
      </c>
    </row>
    <row r="87" spans="1:10" ht="19.5" customHeight="1" x14ac:dyDescent="0.25">
      <c r="A87" s="40">
        <v>65</v>
      </c>
      <c r="B87" s="7" t="s">
        <v>147</v>
      </c>
      <c r="C87" s="61">
        <v>0.99930555555555556</v>
      </c>
      <c r="D87" s="41" t="s">
        <v>96</v>
      </c>
      <c r="E87" s="77" t="s">
        <v>98</v>
      </c>
      <c r="F87" s="95"/>
      <c r="G87" s="11" t="s">
        <v>34</v>
      </c>
      <c r="H87" s="95"/>
      <c r="I87" s="78" t="s">
        <v>103</v>
      </c>
      <c r="J87" s="64" t="s">
        <v>99</v>
      </c>
    </row>
    <row r="88" spans="1:10" ht="19.5" customHeight="1" x14ac:dyDescent="0.25">
      <c r="A88" s="40">
        <v>66</v>
      </c>
      <c r="B88" s="7" t="s">
        <v>147</v>
      </c>
      <c r="C88" s="61">
        <v>0.99930555555555556</v>
      </c>
      <c r="D88" s="41" t="s">
        <v>96</v>
      </c>
      <c r="E88" s="77" t="s">
        <v>104</v>
      </c>
      <c r="F88" s="95"/>
      <c r="G88" s="11" t="s">
        <v>34</v>
      </c>
      <c r="H88" s="95"/>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c r="G90" s="11" t="s">
        <v>34</v>
      </c>
      <c r="H90" s="99"/>
      <c r="I90" s="86" t="s">
        <v>124</v>
      </c>
      <c r="J90" s="64" t="s">
        <v>67</v>
      </c>
    </row>
    <row r="91" spans="1:10" ht="19.5" customHeight="1" x14ac:dyDescent="0.25">
      <c r="A91" s="56">
        <v>68</v>
      </c>
      <c r="B91" s="7" t="s">
        <v>149</v>
      </c>
      <c r="C91" s="61">
        <v>0.75</v>
      </c>
      <c r="D91" s="57" t="s">
        <v>123</v>
      </c>
      <c r="E91" s="85" t="s">
        <v>125</v>
      </c>
      <c r="F91" s="99"/>
      <c r="G91" s="11" t="s">
        <v>34</v>
      </c>
      <c r="H91" s="99"/>
      <c r="I91" s="86" t="s">
        <v>126</v>
      </c>
      <c r="J91" s="64" t="s">
        <v>86</v>
      </c>
    </row>
    <row r="92" spans="1:10" ht="19.5" customHeight="1" x14ac:dyDescent="0.25">
      <c r="A92" s="52">
        <v>69</v>
      </c>
      <c r="B92" s="7" t="s">
        <v>149</v>
      </c>
      <c r="C92" s="61">
        <v>0.85416666666666663</v>
      </c>
      <c r="D92" s="53" t="s">
        <v>120</v>
      </c>
      <c r="E92" s="83" t="s">
        <v>129</v>
      </c>
      <c r="F92" s="98"/>
      <c r="G92" s="11" t="s">
        <v>34</v>
      </c>
      <c r="H92" s="98"/>
      <c r="I92" s="84" t="s">
        <v>121</v>
      </c>
      <c r="J92" s="64" t="s">
        <v>102</v>
      </c>
    </row>
    <row r="93" spans="1:10" ht="19.5" customHeight="1" x14ac:dyDescent="0.25">
      <c r="A93" s="52">
        <v>70</v>
      </c>
      <c r="B93" s="7" t="s">
        <v>149</v>
      </c>
      <c r="C93" s="61">
        <v>0.85416666666666663</v>
      </c>
      <c r="D93" s="53" t="s">
        <v>120</v>
      </c>
      <c r="E93" s="83" t="s">
        <v>122</v>
      </c>
      <c r="F93" s="98"/>
      <c r="G93" s="11" t="s">
        <v>34</v>
      </c>
      <c r="H93" s="98"/>
      <c r="I93" s="84" t="s">
        <v>128</v>
      </c>
      <c r="J93" s="64" t="s">
        <v>95</v>
      </c>
    </row>
    <row r="94" spans="1:10" ht="19.5" customHeight="1" x14ac:dyDescent="0.25">
      <c r="A94" s="48">
        <v>71</v>
      </c>
      <c r="B94" s="7" t="s">
        <v>149</v>
      </c>
      <c r="C94" s="61">
        <v>0.95833333333333337</v>
      </c>
      <c r="D94" s="49" t="s">
        <v>112</v>
      </c>
      <c r="E94" s="81" t="s">
        <v>114</v>
      </c>
      <c r="F94" s="97"/>
      <c r="G94" s="11" t="s">
        <v>34</v>
      </c>
      <c r="H94" s="97"/>
      <c r="I94" s="82" t="s">
        <v>118</v>
      </c>
      <c r="J94" s="64" t="s">
        <v>115</v>
      </c>
    </row>
    <row r="95" spans="1:10" ht="19.5" customHeight="1" x14ac:dyDescent="0.25">
      <c r="A95" s="48">
        <v>72</v>
      </c>
      <c r="B95" s="7" t="s">
        <v>149</v>
      </c>
      <c r="C95" s="61">
        <v>0.95833333333333337</v>
      </c>
      <c r="D95" s="49" t="s">
        <v>112</v>
      </c>
      <c r="E95" s="81" t="s">
        <v>119</v>
      </c>
      <c r="F95" s="97"/>
      <c r="G95" s="11" t="s">
        <v>34</v>
      </c>
      <c r="H95" s="97"/>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58 F63 F68 F75:F150">
    <cfRule type="expression" dxfId="21" priority="7">
      <formula>DATE(2026,IF(RIGHT($B8,3)="ene",1,IF(RIGHT($B8,3)="feb",2,IF(RIGHT($B8,3)="mar",3,IF(RIGHT($B8,3)="abr",4,IF(RIGHT($B8,3)="may",5,IF(RIGHT($B8,3)="jun",6,IF(RIGHT($B8,3)="jul",7,IF(RIGHT($B8,3)="ago",8,IF(RIGHT($B8,3)="sep",9,IF(RIGHT($B8,3)="oct",10,IF(RIGHT($B8,3)="nov",11,12))))))))))),MID($B8,5,2))+$C8&lt;=NOW()</formula>
    </cfRule>
  </conditionalFormatting>
  <conditionalFormatting sqref="H8:H58 H63 H68 H75:H150">
    <cfRule type="expression" dxfId="20" priority="8">
      <formula>DATE(2026,IF(RIGHT($B8,3)="ene",1,IF(RIGHT($B8,3)="feb",2,IF(RIGHT($B8,3)="mar",3,IF(RIGHT($B8,3)="abr",4,IF(RIGHT($B8,3)="may",5,IF(RIGHT($B8,3)="jun",6,IF(RIGHT($B8,3)="jul",7,IF(RIGHT($B8,3)="ago",8,IF(RIGHT($B8,3)="sep",9,IF(RIGHT($B8,3)="oct",10,IF(RIGHT($B8,3)="nov",11,12))))))))))),MID($B8,5,2))+$C8&lt;=NOW()</formula>
    </cfRule>
  </conditionalFormatting>
  <conditionalFormatting sqref="F59:F62">
    <cfRule type="expression" dxfId="19" priority="6">
      <formula>DATE(2026,IF(RIGHT($B59,3)="ene",1,IF(RIGHT($B59,3)="feb",2,IF(RIGHT($B59,3)="mar",3,IF(RIGHT($B59,3)="abr",4,IF(RIGHT($B59,3)="may",5,IF(RIGHT($B59,3)="jun",6,IF(RIGHT($B59,3)="jul",7,IF(RIGHT($B59,3)="ago",8,IF(RIGHT($B59,3)="sep",9,IF(RIGHT($B59,3)="oct",10,IF(RIGHT($B59,3)="nov",11,12))))))))))),MID($B59,5,2))+$C59&lt;=NOW()</formula>
    </cfRule>
  </conditionalFormatting>
  <conditionalFormatting sqref="H59:H62">
    <cfRule type="expression" dxfId="18" priority="5">
      <formula>DATE(2026,IF(RIGHT($B59,3)="ene",1,IF(RIGHT($B59,3)="feb",2,IF(RIGHT($B59,3)="mar",3,IF(RIGHT($B59,3)="abr",4,IF(RIGHT($B59,3)="may",5,IF(RIGHT($B59,3)="jun",6,IF(RIGHT($B59,3)="jul",7,IF(RIGHT($B59,3)="ago",8,IF(RIGHT($B59,3)="sep",9,IF(RIGHT($B59,3)="oct",10,IF(RIGHT($B59,3)="nov",11,12))))))))))),MID($B59,5,2))+$C59&lt;=NOW()</formula>
    </cfRule>
  </conditionalFormatting>
  <conditionalFormatting sqref="F64:F67">
    <cfRule type="expression" dxfId="17" priority="4">
      <formula>DATE(2026,IF(RIGHT($B64,3)="ene",1,IF(RIGHT($B64,3)="feb",2,IF(RIGHT($B64,3)="mar",3,IF(RIGHT($B64,3)="abr",4,IF(RIGHT($B64,3)="may",5,IF(RIGHT($B64,3)="jun",6,IF(RIGHT($B64,3)="jul",7,IF(RIGHT($B64,3)="ago",8,IF(RIGHT($B64,3)="sep",9,IF(RIGHT($B64,3)="oct",10,IF(RIGHT($B64,3)="nov",11,12))))))))))),MID($B64,5,2))+$C64&lt;=NOW()</formula>
    </cfRule>
  </conditionalFormatting>
  <conditionalFormatting sqref="H64:H67">
    <cfRule type="expression" dxfId="16" priority="3">
      <formula>DATE(2026,IF(RIGHT($B64,3)="ene",1,IF(RIGHT($B64,3)="feb",2,IF(RIGHT($B64,3)="mar",3,IF(RIGHT($B64,3)="abr",4,IF(RIGHT($B64,3)="may",5,IF(RIGHT($B64,3)="jun",6,IF(RIGHT($B64,3)="jul",7,IF(RIGHT($B64,3)="ago",8,IF(RIGHT($B64,3)="sep",9,IF(RIGHT($B64,3)="oct",10,IF(RIGHT($B64,3)="nov",11,12))))))))))),MID($B64,5,2))+$C64&lt;=NOW()</formula>
    </cfRule>
  </conditionalFormatting>
  <conditionalFormatting sqref="F69:F74">
    <cfRule type="expression" dxfId="15" priority="2">
      <formula>DATE(2026,IF(RIGHT($B69,3)="ene",1,IF(RIGHT($B69,3)="feb",2,IF(RIGHT($B69,3)="mar",3,IF(RIGHT($B69,3)="abr",4,IF(RIGHT($B69,3)="may",5,IF(RIGHT($B69,3)="jun",6,IF(RIGHT($B69,3)="jul",7,IF(RIGHT($B69,3)="ago",8,IF(RIGHT($B69,3)="sep",9,IF(RIGHT($B69,3)="oct",10,IF(RIGHT($B69,3)="nov",11,12))))))))))),MID($B69,5,2))+$C69&lt;=NOW()</formula>
    </cfRule>
  </conditionalFormatting>
  <conditionalFormatting sqref="H69:H74">
    <cfRule type="expression" dxfId="14" priority="1">
      <formula>DATE(2026,IF(RIGHT($B69,3)="ene",1,IF(RIGHT($B69,3)="feb",2,IF(RIGHT($B69,3)="mar",3,IF(RIGHT($B69,3)="abr",4,IF(RIGHT($B69,3)="may",5,IF(RIGHT($B69,3)="jun",6,IF(RIGHT($B69,3)="jul",7,IF(RIGHT($B69,3)="ago",8,IF(RIGHT($B69,3)="sep",9,IF(RIGHT($B69,3)="oct",10,IF(RIGHT($B69,3)="nov",11,12))))))))))),MID($B69,5,2))+$C69&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B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J1000"/>
  <sheetViews>
    <sheetView topLeftCell="A59" zoomScaleNormal="100" workbookViewId="0">
      <selection activeCell="O86" sqref="O86"/>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178</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2</v>
      </c>
      <c r="G8" s="11" t="s">
        <v>34</v>
      </c>
      <c r="H8" s="88">
        <v>0</v>
      </c>
      <c r="I8" s="63" t="s">
        <v>44</v>
      </c>
      <c r="J8" s="64" t="s">
        <v>45</v>
      </c>
    </row>
    <row r="9" spans="1:10" ht="19.5" customHeight="1" x14ac:dyDescent="0.25">
      <c r="A9" s="6">
        <v>2</v>
      </c>
      <c r="B9" s="7" t="s">
        <v>41</v>
      </c>
      <c r="C9" s="61">
        <v>0.95833333333333337</v>
      </c>
      <c r="D9" s="8" t="s">
        <v>42</v>
      </c>
      <c r="E9" s="62" t="s">
        <v>46</v>
      </c>
      <c r="F9" s="88">
        <v>1</v>
      </c>
      <c r="G9" s="11" t="s">
        <v>34</v>
      </c>
      <c r="H9" s="88">
        <v>1</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2</v>
      </c>
      <c r="G11" s="11" t="s">
        <v>34</v>
      </c>
      <c r="H11" s="89">
        <v>1</v>
      </c>
      <c r="I11" s="66" t="s">
        <v>53</v>
      </c>
      <c r="J11" s="64" t="s">
        <v>54</v>
      </c>
    </row>
    <row r="12" spans="1:10" ht="19.5" customHeight="1" x14ac:dyDescent="0.25">
      <c r="A12" s="20">
        <v>4</v>
      </c>
      <c r="B12" s="7" t="s">
        <v>50</v>
      </c>
      <c r="C12" s="61">
        <v>0.66666666666666663</v>
      </c>
      <c r="D12" s="21" t="s">
        <v>55</v>
      </c>
      <c r="E12" s="67" t="s">
        <v>56</v>
      </c>
      <c r="F12" s="90">
        <v>1</v>
      </c>
      <c r="G12" s="11" t="s">
        <v>34</v>
      </c>
      <c r="H12" s="90">
        <v>1</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0</v>
      </c>
      <c r="G14" s="11" t="s">
        <v>34</v>
      </c>
      <c r="H14" s="91">
        <v>2</v>
      </c>
      <c r="I14" s="70" t="s">
        <v>63</v>
      </c>
      <c r="J14" s="64" t="s">
        <v>64</v>
      </c>
    </row>
    <row r="15" spans="1:10" ht="19.5" customHeight="1" x14ac:dyDescent="0.25">
      <c r="A15" s="24">
        <v>6</v>
      </c>
      <c r="B15" s="7" t="s">
        <v>60</v>
      </c>
      <c r="C15" s="61">
        <v>0.79166666666666663</v>
      </c>
      <c r="D15" s="25" t="s">
        <v>61</v>
      </c>
      <c r="E15" s="69" t="s">
        <v>65</v>
      </c>
      <c r="F15" s="91">
        <v>2</v>
      </c>
      <c r="G15" s="11" t="s">
        <v>34</v>
      </c>
      <c r="H15" s="91">
        <v>1</v>
      </c>
      <c r="I15" s="70" t="s">
        <v>66</v>
      </c>
      <c r="J15" s="64" t="s">
        <v>67</v>
      </c>
    </row>
    <row r="16" spans="1:10" ht="19.5" customHeight="1" x14ac:dyDescent="0.25">
      <c r="A16" s="16">
        <v>7</v>
      </c>
      <c r="B16" s="7" t="s">
        <v>60</v>
      </c>
      <c r="C16" s="61">
        <v>0.66666666666666663</v>
      </c>
      <c r="D16" s="17" t="s">
        <v>51</v>
      </c>
      <c r="E16" s="65" t="s">
        <v>68</v>
      </c>
      <c r="F16" s="89">
        <v>0</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1</v>
      </c>
      <c r="G18" s="11" t="s">
        <v>34</v>
      </c>
      <c r="H18" s="90">
        <v>2</v>
      </c>
      <c r="I18" s="68" t="s">
        <v>74</v>
      </c>
      <c r="J18" s="64" t="s">
        <v>75</v>
      </c>
    </row>
    <row r="19" spans="1:10" ht="19.5" customHeight="1" x14ac:dyDescent="0.25">
      <c r="A19" s="28">
        <v>9</v>
      </c>
      <c r="B19" s="7" t="s">
        <v>72</v>
      </c>
      <c r="C19" s="61">
        <v>0.58333333333333337</v>
      </c>
      <c r="D19" s="29" t="s">
        <v>76</v>
      </c>
      <c r="E19" s="71" t="s">
        <v>77</v>
      </c>
      <c r="F19" s="92">
        <v>4</v>
      </c>
      <c r="G19" s="11" t="s">
        <v>34</v>
      </c>
      <c r="H19" s="92">
        <v>0</v>
      </c>
      <c r="I19" s="72" t="s">
        <v>78</v>
      </c>
      <c r="J19" s="64" t="s">
        <v>79</v>
      </c>
    </row>
    <row r="20" spans="1:10" ht="19.5" customHeight="1" x14ac:dyDescent="0.25">
      <c r="A20" s="32">
        <v>10</v>
      </c>
      <c r="B20" s="7" t="s">
        <v>72</v>
      </c>
      <c r="C20" s="61">
        <v>0.70833333333333337</v>
      </c>
      <c r="D20" s="33" t="s">
        <v>80</v>
      </c>
      <c r="E20" s="73" t="s">
        <v>81</v>
      </c>
      <c r="F20" s="93">
        <v>2</v>
      </c>
      <c r="G20" s="11" t="s">
        <v>34</v>
      </c>
      <c r="H20" s="93">
        <v>1</v>
      </c>
      <c r="I20" s="74" t="s">
        <v>82</v>
      </c>
      <c r="J20" s="64" t="s">
        <v>83</v>
      </c>
    </row>
    <row r="21" spans="1:10" ht="19.5" customHeight="1" x14ac:dyDescent="0.25">
      <c r="A21" s="28">
        <v>11</v>
      </c>
      <c r="B21" s="7" t="s">
        <v>72</v>
      </c>
      <c r="C21" s="61">
        <v>0.83333333333333337</v>
      </c>
      <c r="D21" s="29" t="s">
        <v>76</v>
      </c>
      <c r="E21" s="71" t="s">
        <v>84</v>
      </c>
      <c r="F21" s="92">
        <v>1</v>
      </c>
      <c r="G21" s="11" t="s">
        <v>34</v>
      </c>
      <c r="H21" s="92">
        <v>1</v>
      </c>
      <c r="I21" s="72" t="s">
        <v>85</v>
      </c>
      <c r="J21" s="64" t="s">
        <v>86</v>
      </c>
    </row>
    <row r="22" spans="1:10" ht="19.5" customHeight="1" x14ac:dyDescent="0.25">
      <c r="A22" s="32">
        <v>12</v>
      </c>
      <c r="B22" s="7" t="s">
        <v>72</v>
      </c>
      <c r="C22" s="61">
        <v>0.95833333333333337</v>
      </c>
      <c r="D22" s="33" t="s">
        <v>80</v>
      </c>
      <c r="E22" s="73" t="s">
        <v>87</v>
      </c>
      <c r="F22" s="93">
        <v>2</v>
      </c>
      <c r="G22" s="11" t="s">
        <v>34</v>
      </c>
      <c r="H22" s="93">
        <v>0</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3</v>
      </c>
      <c r="G24" s="11" t="s">
        <v>34</v>
      </c>
      <c r="H24" s="94">
        <v>0</v>
      </c>
      <c r="I24" s="76" t="s">
        <v>94</v>
      </c>
      <c r="J24" s="64" t="s">
        <v>95</v>
      </c>
    </row>
    <row r="25" spans="1:10" ht="19.5" customHeight="1" x14ac:dyDescent="0.25">
      <c r="A25" s="40">
        <v>14</v>
      </c>
      <c r="B25" s="7" t="s">
        <v>91</v>
      </c>
      <c r="C25" s="61">
        <v>0.66666666666666663</v>
      </c>
      <c r="D25" s="41" t="s">
        <v>96</v>
      </c>
      <c r="E25" s="77" t="s">
        <v>97</v>
      </c>
      <c r="F25" s="95">
        <v>2</v>
      </c>
      <c r="G25" s="11" t="s">
        <v>34</v>
      </c>
      <c r="H25" s="95">
        <v>0</v>
      </c>
      <c r="I25" s="78" t="s">
        <v>98</v>
      </c>
      <c r="J25" s="64" t="s">
        <v>99</v>
      </c>
    </row>
    <row r="26" spans="1:10" ht="19.5" customHeight="1" x14ac:dyDescent="0.25">
      <c r="A26" s="36">
        <v>15</v>
      </c>
      <c r="B26" s="7" t="s">
        <v>91</v>
      </c>
      <c r="C26" s="61">
        <v>0.79166666666666663</v>
      </c>
      <c r="D26" s="37" t="s">
        <v>92</v>
      </c>
      <c r="E26" s="75" t="s">
        <v>100</v>
      </c>
      <c r="F26" s="94">
        <v>0</v>
      </c>
      <c r="G26" s="11" t="s">
        <v>34</v>
      </c>
      <c r="H26" s="94">
        <v>2</v>
      </c>
      <c r="I26" s="76" t="s">
        <v>101</v>
      </c>
      <c r="J26" s="64" t="s">
        <v>102</v>
      </c>
    </row>
    <row r="27" spans="1:10" ht="19.5" customHeight="1" x14ac:dyDescent="0.25">
      <c r="A27" s="40">
        <v>16</v>
      </c>
      <c r="B27" s="7" t="s">
        <v>91</v>
      </c>
      <c r="C27" s="61">
        <v>0.91666666666666663</v>
      </c>
      <c r="D27" s="41" t="s">
        <v>96</v>
      </c>
      <c r="E27" s="77" t="s">
        <v>103</v>
      </c>
      <c r="F27" s="95">
        <v>1</v>
      </c>
      <c r="G27" s="11" t="s">
        <v>34</v>
      </c>
      <c r="H27" s="95">
        <v>0</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2</v>
      </c>
      <c r="G29" s="11" t="s">
        <v>34</v>
      </c>
      <c r="H29" s="96">
        <v>1</v>
      </c>
      <c r="I29" s="80" t="s">
        <v>109</v>
      </c>
      <c r="J29" s="64" t="s">
        <v>67</v>
      </c>
    </row>
    <row r="30" spans="1:10" ht="19.5" customHeight="1" x14ac:dyDescent="0.25">
      <c r="A30" s="44">
        <v>18</v>
      </c>
      <c r="B30" s="7" t="s">
        <v>106</v>
      </c>
      <c r="C30" s="61">
        <v>0.79166666666666663</v>
      </c>
      <c r="D30" s="45" t="s">
        <v>107</v>
      </c>
      <c r="E30" s="79" t="s">
        <v>110</v>
      </c>
      <c r="F30" s="96">
        <v>0</v>
      </c>
      <c r="G30" s="11" t="s">
        <v>34</v>
      </c>
      <c r="H30" s="96">
        <v>2</v>
      </c>
      <c r="I30" s="80" t="s">
        <v>111</v>
      </c>
      <c r="J30" s="64" t="s">
        <v>64</v>
      </c>
    </row>
    <row r="31" spans="1:10" ht="19.5" customHeight="1" x14ac:dyDescent="0.25">
      <c r="A31" s="48">
        <v>19</v>
      </c>
      <c r="B31" s="7" t="s">
        <v>106</v>
      </c>
      <c r="C31" s="61">
        <v>0.91666666666666663</v>
      </c>
      <c r="D31" s="49" t="s">
        <v>112</v>
      </c>
      <c r="E31" s="81" t="s">
        <v>113</v>
      </c>
      <c r="F31" s="97">
        <v>3</v>
      </c>
      <c r="G31" s="11" t="s">
        <v>34</v>
      </c>
      <c r="H31" s="97">
        <v>0</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0</v>
      </c>
      <c r="G33" s="11" t="s">
        <v>34</v>
      </c>
      <c r="H33" s="97">
        <v>2</v>
      </c>
      <c r="I33" s="82" t="s">
        <v>119</v>
      </c>
      <c r="J33" s="64" t="s">
        <v>70</v>
      </c>
    </row>
    <row r="34" spans="1:10" ht="19.5" customHeight="1" x14ac:dyDescent="0.25">
      <c r="A34" s="52">
        <v>21</v>
      </c>
      <c r="B34" s="7" t="s">
        <v>117</v>
      </c>
      <c r="C34" s="61">
        <v>0.58333333333333337</v>
      </c>
      <c r="D34" s="53" t="s">
        <v>120</v>
      </c>
      <c r="E34" s="83" t="s">
        <v>121</v>
      </c>
      <c r="F34" s="98">
        <v>2</v>
      </c>
      <c r="G34" s="11" t="s">
        <v>34</v>
      </c>
      <c r="H34" s="98">
        <v>1</v>
      </c>
      <c r="I34" s="84" t="s">
        <v>122</v>
      </c>
      <c r="J34" s="64" t="s">
        <v>79</v>
      </c>
    </row>
    <row r="35" spans="1:10" ht="19.5" customHeight="1" x14ac:dyDescent="0.25">
      <c r="A35" s="56">
        <v>22</v>
      </c>
      <c r="B35" s="7" t="s">
        <v>117</v>
      </c>
      <c r="C35" s="61">
        <v>0.70833333333333337</v>
      </c>
      <c r="D35" s="57" t="s">
        <v>123</v>
      </c>
      <c r="E35" s="85" t="s">
        <v>124</v>
      </c>
      <c r="F35" s="99">
        <v>1</v>
      </c>
      <c r="G35" s="11" t="s">
        <v>34</v>
      </c>
      <c r="H35" s="99">
        <v>1</v>
      </c>
      <c r="I35" s="86" t="s">
        <v>125</v>
      </c>
      <c r="J35" s="64" t="s">
        <v>83</v>
      </c>
    </row>
    <row r="36" spans="1:10" ht="19.5" customHeight="1" x14ac:dyDescent="0.25">
      <c r="A36" s="56">
        <v>23</v>
      </c>
      <c r="B36" s="7" t="s">
        <v>117</v>
      </c>
      <c r="C36" s="61">
        <v>0.83333333333333337</v>
      </c>
      <c r="D36" s="57" t="s">
        <v>123</v>
      </c>
      <c r="E36" s="85" t="s">
        <v>126</v>
      </c>
      <c r="F36" s="99">
        <v>2</v>
      </c>
      <c r="G36" s="11" t="s">
        <v>34</v>
      </c>
      <c r="H36" s="99">
        <v>0</v>
      </c>
      <c r="I36" s="86" t="s">
        <v>127</v>
      </c>
      <c r="J36" s="64" t="s">
        <v>54</v>
      </c>
    </row>
    <row r="37" spans="1:10" ht="19.5" customHeight="1" x14ac:dyDescent="0.25">
      <c r="A37" s="52">
        <v>24</v>
      </c>
      <c r="B37" s="7" t="s">
        <v>117</v>
      </c>
      <c r="C37" s="61">
        <v>0.95833333333333337</v>
      </c>
      <c r="D37" s="53" t="s">
        <v>120</v>
      </c>
      <c r="E37" s="83" t="s">
        <v>128</v>
      </c>
      <c r="F37" s="98">
        <v>0</v>
      </c>
      <c r="G37" s="11" t="s">
        <v>34</v>
      </c>
      <c r="H37" s="98">
        <v>1</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c r="G39" s="11" t="s">
        <v>34</v>
      </c>
      <c r="H39" s="88"/>
      <c r="I39" s="63" t="s">
        <v>44</v>
      </c>
      <c r="J39" s="64" t="s">
        <v>95</v>
      </c>
    </row>
    <row r="40" spans="1:10" ht="19.5" customHeight="1" x14ac:dyDescent="0.25">
      <c r="A40" s="16">
        <v>26</v>
      </c>
      <c r="B40" s="7" t="s">
        <v>131</v>
      </c>
      <c r="C40" s="61">
        <v>0.66666666666666663</v>
      </c>
      <c r="D40" s="17" t="s">
        <v>51</v>
      </c>
      <c r="E40" s="65" t="s">
        <v>69</v>
      </c>
      <c r="F40" s="89">
        <v>2</v>
      </c>
      <c r="G40" s="11" t="s">
        <v>34</v>
      </c>
      <c r="H40" s="89">
        <v>1</v>
      </c>
      <c r="I40" s="66" t="s">
        <v>53</v>
      </c>
      <c r="J40" s="64" t="s">
        <v>58</v>
      </c>
    </row>
    <row r="41" spans="1:10" ht="19.5" customHeight="1" x14ac:dyDescent="0.25">
      <c r="A41" s="16">
        <v>27</v>
      </c>
      <c r="B41" s="7" t="s">
        <v>131</v>
      </c>
      <c r="C41" s="61">
        <v>0.79166666666666663</v>
      </c>
      <c r="D41" s="17" t="s">
        <v>51</v>
      </c>
      <c r="E41" s="65" t="s">
        <v>52</v>
      </c>
      <c r="F41" s="89">
        <v>1</v>
      </c>
      <c r="G41" s="11" t="s">
        <v>34</v>
      </c>
      <c r="H41" s="89">
        <v>1</v>
      </c>
      <c r="I41" s="66" t="s">
        <v>68</v>
      </c>
      <c r="J41" s="64" t="s">
        <v>75</v>
      </c>
    </row>
    <row r="42" spans="1:10" ht="19.5" customHeight="1" x14ac:dyDescent="0.25">
      <c r="A42" s="6">
        <v>28</v>
      </c>
      <c r="B42" s="7" t="s">
        <v>131</v>
      </c>
      <c r="C42" s="61">
        <v>0.91666666666666663</v>
      </c>
      <c r="D42" s="8" t="s">
        <v>42</v>
      </c>
      <c r="E42" s="62" t="s">
        <v>43</v>
      </c>
      <c r="F42" s="88">
        <v>1</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2</v>
      </c>
      <c r="I44" s="68" t="s">
        <v>73</v>
      </c>
      <c r="J44" s="64" t="s">
        <v>99</v>
      </c>
    </row>
    <row r="45" spans="1:10" ht="19.5" customHeight="1" x14ac:dyDescent="0.25">
      <c r="A45" s="24">
        <v>30</v>
      </c>
      <c r="B45" s="7" t="s">
        <v>133</v>
      </c>
      <c r="C45" s="61">
        <v>0.79166666666666663</v>
      </c>
      <c r="D45" s="25" t="s">
        <v>61</v>
      </c>
      <c r="E45" s="69" t="s">
        <v>63</v>
      </c>
      <c r="F45" s="91">
        <v>1</v>
      </c>
      <c r="G45" s="11" t="s">
        <v>34</v>
      </c>
      <c r="H45" s="91">
        <v>2</v>
      </c>
      <c r="I45" s="70" t="s">
        <v>66</v>
      </c>
      <c r="J45" s="64" t="s">
        <v>64</v>
      </c>
    </row>
    <row r="46" spans="1:10" ht="19.5" customHeight="1" x14ac:dyDescent="0.25">
      <c r="A46" s="24">
        <v>31</v>
      </c>
      <c r="B46" s="7" t="s">
        <v>133</v>
      </c>
      <c r="C46" s="61">
        <v>0.89583333333333337</v>
      </c>
      <c r="D46" s="25" t="s">
        <v>61</v>
      </c>
      <c r="E46" s="69" t="s">
        <v>65</v>
      </c>
      <c r="F46" s="91">
        <v>3</v>
      </c>
      <c r="G46" s="11" t="s">
        <v>34</v>
      </c>
      <c r="H46" s="91">
        <v>0</v>
      </c>
      <c r="I46" s="70" t="s">
        <v>62</v>
      </c>
      <c r="J46" s="64" t="s">
        <v>86</v>
      </c>
    </row>
    <row r="47" spans="1:10" ht="19.5" customHeight="1" x14ac:dyDescent="0.25">
      <c r="A47" s="20">
        <v>32</v>
      </c>
      <c r="B47" s="7" t="s">
        <v>133</v>
      </c>
      <c r="C47" s="61">
        <v>0.99930555555555556</v>
      </c>
      <c r="D47" s="21" t="s">
        <v>55</v>
      </c>
      <c r="E47" s="67" t="s">
        <v>74</v>
      </c>
      <c r="F47" s="90">
        <v>0</v>
      </c>
      <c r="G47" s="11" t="s">
        <v>34</v>
      </c>
      <c r="H47" s="90">
        <v>1</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2</v>
      </c>
      <c r="G49" s="11" t="s">
        <v>34</v>
      </c>
      <c r="H49" s="93">
        <v>1</v>
      </c>
      <c r="I49" s="74" t="s">
        <v>87</v>
      </c>
      <c r="J49" s="64" t="s">
        <v>79</v>
      </c>
    </row>
    <row r="50" spans="1:10" ht="19.5" customHeight="1" x14ac:dyDescent="0.25">
      <c r="A50" s="28">
        <v>34</v>
      </c>
      <c r="B50" s="7" t="s">
        <v>135</v>
      </c>
      <c r="C50" s="61">
        <v>0.70833333333333337</v>
      </c>
      <c r="D50" s="29" t="s">
        <v>76</v>
      </c>
      <c r="E50" s="71" t="s">
        <v>77</v>
      </c>
      <c r="F50" s="92">
        <v>2</v>
      </c>
      <c r="G50" s="11" t="s">
        <v>34</v>
      </c>
      <c r="H50" s="92">
        <v>0</v>
      </c>
      <c r="I50" s="72" t="s">
        <v>84</v>
      </c>
      <c r="J50" s="64" t="s">
        <v>54</v>
      </c>
    </row>
    <row r="51" spans="1:10" ht="19.5" customHeight="1" x14ac:dyDescent="0.25">
      <c r="A51" s="28">
        <v>35</v>
      </c>
      <c r="B51" s="7" t="s">
        <v>135</v>
      </c>
      <c r="C51" s="61">
        <v>0.875</v>
      </c>
      <c r="D51" s="29" t="s">
        <v>76</v>
      </c>
      <c r="E51" s="71" t="s">
        <v>85</v>
      </c>
      <c r="F51" s="92">
        <v>3</v>
      </c>
      <c r="G51" s="11" t="s">
        <v>34</v>
      </c>
      <c r="H51" s="92">
        <v>0</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1</v>
      </c>
      <c r="G53" s="11" t="s">
        <v>34</v>
      </c>
      <c r="H53" s="93">
        <v>2</v>
      </c>
      <c r="I53" s="74" t="s">
        <v>82</v>
      </c>
      <c r="J53" s="64" t="s">
        <v>89</v>
      </c>
    </row>
    <row r="54" spans="1:10" ht="19.5" customHeight="1" x14ac:dyDescent="0.25">
      <c r="A54" s="36">
        <v>37</v>
      </c>
      <c r="B54" s="7" t="s">
        <v>137</v>
      </c>
      <c r="C54" s="61">
        <v>0.54166666666666663</v>
      </c>
      <c r="D54" s="37" t="s">
        <v>92</v>
      </c>
      <c r="E54" s="75" t="s">
        <v>93</v>
      </c>
      <c r="F54" s="94">
        <v>2</v>
      </c>
      <c r="G54" s="11" t="s">
        <v>34</v>
      </c>
      <c r="H54" s="94">
        <v>1</v>
      </c>
      <c r="I54" s="76" t="s">
        <v>100</v>
      </c>
      <c r="J54" s="64" t="s">
        <v>95</v>
      </c>
    </row>
    <row r="55" spans="1:10" ht="19.5" customHeight="1" x14ac:dyDescent="0.25">
      <c r="A55" s="40">
        <v>38</v>
      </c>
      <c r="B55" s="7" t="s">
        <v>137</v>
      </c>
      <c r="C55" s="61">
        <v>0.66666666666666663</v>
      </c>
      <c r="D55" s="41" t="s">
        <v>96</v>
      </c>
      <c r="E55" s="77" t="s">
        <v>97</v>
      </c>
      <c r="F55" s="95">
        <v>2</v>
      </c>
      <c r="G55" s="11" t="s">
        <v>34</v>
      </c>
      <c r="H55" s="95">
        <v>0</v>
      </c>
      <c r="I55" s="78" t="s">
        <v>103</v>
      </c>
      <c r="J55" s="64" t="s">
        <v>58</v>
      </c>
    </row>
    <row r="56" spans="1:10" ht="19.5" customHeight="1" x14ac:dyDescent="0.25">
      <c r="A56" s="36">
        <v>39</v>
      </c>
      <c r="B56" s="7" t="s">
        <v>137</v>
      </c>
      <c r="C56" s="61">
        <v>0.79166666666666663</v>
      </c>
      <c r="D56" s="37" t="s">
        <v>92</v>
      </c>
      <c r="E56" s="75" t="s">
        <v>101</v>
      </c>
      <c r="F56" s="94">
        <v>2</v>
      </c>
      <c r="G56" s="11" t="s">
        <v>34</v>
      </c>
      <c r="H56" s="94">
        <v>0</v>
      </c>
      <c r="I56" s="76" t="s">
        <v>94</v>
      </c>
      <c r="J56" s="64" t="s">
        <v>102</v>
      </c>
    </row>
    <row r="57" spans="1:10" ht="19.5" customHeight="1" x14ac:dyDescent="0.25">
      <c r="A57" s="40">
        <v>40</v>
      </c>
      <c r="B57" s="7" t="s">
        <v>137</v>
      </c>
      <c r="C57" s="61">
        <v>0.91666666666666663</v>
      </c>
      <c r="D57" s="41" t="s">
        <v>96</v>
      </c>
      <c r="E57" s="77" t="s">
        <v>104</v>
      </c>
      <c r="F57" s="95">
        <v>1</v>
      </c>
      <c r="G57" s="11" t="s">
        <v>34</v>
      </c>
      <c r="H57" s="95">
        <v>1</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2</v>
      </c>
      <c r="G59" s="11" t="s">
        <v>34</v>
      </c>
      <c r="H59" s="97">
        <v>0</v>
      </c>
      <c r="I59" s="82" t="s">
        <v>118</v>
      </c>
      <c r="J59" s="64" t="s">
        <v>83</v>
      </c>
    </row>
    <row r="60" spans="1:10" ht="19.5" customHeight="1" x14ac:dyDescent="0.25">
      <c r="A60" s="44">
        <v>42</v>
      </c>
      <c r="B60" s="7" t="s">
        <v>139</v>
      </c>
      <c r="C60" s="61">
        <v>0.75</v>
      </c>
      <c r="D60" s="45" t="s">
        <v>107</v>
      </c>
      <c r="E60" s="79" t="s">
        <v>108</v>
      </c>
      <c r="F60" s="96">
        <v>3</v>
      </c>
      <c r="G60" s="11" t="s">
        <v>34</v>
      </c>
      <c r="H60" s="96">
        <v>0</v>
      </c>
      <c r="I60" s="80" t="s">
        <v>110</v>
      </c>
      <c r="J60" s="64" t="s">
        <v>86</v>
      </c>
    </row>
    <row r="61" spans="1:10" ht="19.5" customHeight="1" x14ac:dyDescent="0.25">
      <c r="A61" s="44">
        <v>43</v>
      </c>
      <c r="B61" s="7" t="s">
        <v>139</v>
      </c>
      <c r="C61" s="61">
        <v>0.875</v>
      </c>
      <c r="D61" s="45" t="s">
        <v>107</v>
      </c>
      <c r="E61" s="79" t="s">
        <v>111</v>
      </c>
      <c r="F61" s="96">
        <v>1</v>
      </c>
      <c r="G61" s="11" t="s">
        <v>34</v>
      </c>
      <c r="H61" s="96">
        <v>1</v>
      </c>
      <c r="I61" s="80" t="s">
        <v>109</v>
      </c>
      <c r="J61" s="64" t="s">
        <v>67</v>
      </c>
    </row>
    <row r="62" spans="1:10" ht="19.5" customHeight="1" x14ac:dyDescent="0.25">
      <c r="A62" s="48">
        <v>44</v>
      </c>
      <c r="B62" s="7" t="s">
        <v>139</v>
      </c>
      <c r="C62" s="61">
        <v>0.99930555555555556</v>
      </c>
      <c r="D62" s="49" t="s">
        <v>112</v>
      </c>
      <c r="E62" s="81" t="s">
        <v>119</v>
      </c>
      <c r="F62" s="97">
        <v>0</v>
      </c>
      <c r="G62" s="11" t="s">
        <v>34</v>
      </c>
      <c r="H62" s="97">
        <v>2</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3</v>
      </c>
      <c r="G64" s="11" t="s">
        <v>34</v>
      </c>
      <c r="H64" s="98">
        <v>1</v>
      </c>
      <c r="I64" s="84" t="s">
        <v>128</v>
      </c>
      <c r="J64" s="64" t="s">
        <v>79</v>
      </c>
    </row>
    <row r="65" spans="1:10" ht="19.5" customHeight="1" x14ac:dyDescent="0.25">
      <c r="A65" s="56">
        <v>46</v>
      </c>
      <c r="B65" s="7" t="s">
        <v>141</v>
      </c>
      <c r="C65" s="61">
        <v>0.70833333333333337</v>
      </c>
      <c r="D65" s="57" t="s">
        <v>123</v>
      </c>
      <c r="E65" s="85" t="s">
        <v>124</v>
      </c>
      <c r="F65" s="99">
        <v>2</v>
      </c>
      <c r="G65" s="11" t="s">
        <v>34</v>
      </c>
      <c r="H65" s="99">
        <v>1</v>
      </c>
      <c r="I65" s="86" t="s">
        <v>126</v>
      </c>
      <c r="J65" s="64" t="s">
        <v>64</v>
      </c>
    </row>
    <row r="66" spans="1:10" ht="19.5" customHeight="1" x14ac:dyDescent="0.25">
      <c r="A66" s="56">
        <v>47</v>
      </c>
      <c r="B66" s="7" t="s">
        <v>141</v>
      </c>
      <c r="C66" s="61">
        <v>0.83333333333333337</v>
      </c>
      <c r="D66" s="57" t="s">
        <v>123</v>
      </c>
      <c r="E66" s="85" t="s">
        <v>127</v>
      </c>
      <c r="F66" s="99">
        <v>1</v>
      </c>
      <c r="G66" s="11" t="s">
        <v>34</v>
      </c>
      <c r="H66" s="99">
        <v>2</v>
      </c>
      <c r="I66" s="86" t="s">
        <v>125</v>
      </c>
      <c r="J66" s="64" t="s">
        <v>54</v>
      </c>
    </row>
    <row r="67" spans="1:10" ht="19.5" customHeight="1" x14ac:dyDescent="0.25">
      <c r="A67" s="52">
        <v>48</v>
      </c>
      <c r="B67" s="7" t="s">
        <v>141</v>
      </c>
      <c r="C67" s="61">
        <v>0.95833333333333337</v>
      </c>
      <c r="D67" s="53" t="s">
        <v>120</v>
      </c>
      <c r="E67" s="83" t="s">
        <v>129</v>
      </c>
      <c r="F67" s="98">
        <v>2</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c r="G69" s="11" t="s">
        <v>34</v>
      </c>
      <c r="H69" s="89"/>
      <c r="I69" s="66" t="s">
        <v>52</v>
      </c>
      <c r="J69" s="64" t="s">
        <v>75</v>
      </c>
    </row>
    <row r="70" spans="1:10" ht="19.5" customHeight="1" x14ac:dyDescent="0.25">
      <c r="A70" s="16">
        <v>50</v>
      </c>
      <c r="B70" s="7" t="s">
        <v>143</v>
      </c>
      <c r="C70" s="61">
        <v>0.66666666666666663</v>
      </c>
      <c r="D70" s="17" t="s">
        <v>51</v>
      </c>
      <c r="E70" s="65" t="s">
        <v>53</v>
      </c>
      <c r="F70" s="89"/>
      <c r="G70" s="11" t="s">
        <v>34</v>
      </c>
      <c r="H70" s="89"/>
      <c r="I70" s="66" t="s">
        <v>68</v>
      </c>
      <c r="J70" s="64" t="s">
        <v>99</v>
      </c>
    </row>
    <row r="71" spans="1:10" ht="19.5" customHeight="1" x14ac:dyDescent="0.25">
      <c r="A71" s="24">
        <v>51</v>
      </c>
      <c r="B71" s="7" t="s">
        <v>143</v>
      </c>
      <c r="C71" s="61">
        <v>0.79166666666666663</v>
      </c>
      <c r="D71" s="25" t="s">
        <v>61</v>
      </c>
      <c r="E71" s="69" t="s">
        <v>63</v>
      </c>
      <c r="F71" s="91"/>
      <c r="G71" s="11" t="s">
        <v>34</v>
      </c>
      <c r="H71" s="91"/>
      <c r="I71" s="70" t="s">
        <v>65</v>
      </c>
      <c r="J71" s="64" t="s">
        <v>102</v>
      </c>
    </row>
    <row r="72" spans="1:10" ht="19.5" customHeight="1" x14ac:dyDescent="0.25">
      <c r="A72" s="24">
        <v>52</v>
      </c>
      <c r="B72" s="7" t="s">
        <v>143</v>
      </c>
      <c r="C72" s="61">
        <v>0.79166666666666663</v>
      </c>
      <c r="D72" s="25" t="s">
        <v>61</v>
      </c>
      <c r="E72" s="69" t="s">
        <v>66</v>
      </c>
      <c r="F72" s="91"/>
      <c r="G72" s="11" t="s">
        <v>34</v>
      </c>
      <c r="H72" s="91"/>
      <c r="I72" s="70" t="s">
        <v>62</v>
      </c>
      <c r="J72" s="64" t="s">
        <v>95</v>
      </c>
    </row>
    <row r="73" spans="1:10" ht="19.5" customHeight="1" x14ac:dyDescent="0.25">
      <c r="A73" s="6">
        <v>53</v>
      </c>
      <c r="B73" s="7" t="s">
        <v>143</v>
      </c>
      <c r="C73" s="61">
        <v>0.91666666666666663</v>
      </c>
      <c r="D73" s="8" t="s">
        <v>42</v>
      </c>
      <c r="E73" s="62" t="s">
        <v>47</v>
      </c>
      <c r="F73" s="88"/>
      <c r="G73" s="11" t="s">
        <v>34</v>
      </c>
      <c r="H73" s="88"/>
      <c r="I73" s="63" t="s">
        <v>43</v>
      </c>
      <c r="J73" s="64" t="s">
        <v>45</v>
      </c>
    </row>
    <row r="74" spans="1:10" ht="19.5" customHeight="1" x14ac:dyDescent="0.25">
      <c r="A74" s="6">
        <v>54</v>
      </c>
      <c r="B74" s="7" t="s">
        <v>143</v>
      </c>
      <c r="C74" s="61">
        <v>0.91666666666666663</v>
      </c>
      <c r="D74" s="8" t="s">
        <v>42</v>
      </c>
      <c r="E74" s="62" t="s">
        <v>44</v>
      </c>
      <c r="F74" s="88"/>
      <c r="G74" s="11" t="s">
        <v>34</v>
      </c>
      <c r="H74" s="88"/>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c r="G76" s="11" t="s">
        <v>34</v>
      </c>
      <c r="H76" s="92"/>
      <c r="I76" s="72" t="s">
        <v>84</v>
      </c>
      <c r="J76" s="64" t="s">
        <v>86</v>
      </c>
    </row>
    <row r="77" spans="1:10" ht="19.5" customHeight="1" x14ac:dyDescent="0.25">
      <c r="A77" s="28">
        <v>56</v>
      </c>
      <c r="B77" s="7" t="s">
        <v>145</v>
      </c>
      <c r="C77" s="61">
        <v>0.70833333333333337</v>
      </c>
      <c r="D77" s="29" t="s">
        <v>76</v>
      </c>
      <c r="E77" s="71" t="s">
        <v>85</v>
      </c>
      <c r="F77" s="92"/>
      <c r="G77" s="11" t="s">
        <v>34</v>
      </c>
      <c r="H77" s="92"/>
      <c r="I77" s="72" t="s">
        <v>77</v>
      </c>
      <c r="J77" s="64" t="s">
        <v>67</v>
      </c>
    </row>
    <row r="78" spans="1:10" ht="19.5" customHeight="1" x14ac:dyDescent="0.25">
      <c r="A78" s="32">
        <v>57</v>
      </c>
      <c r="B78" s="7" t="s">
        <v>145</v>
      </c>
      <c r="C78" s="61">
        <v>0.83333333333333337</v>
      </c>
      <c r="D78" s="33" t="s">
        <v>80</v>
      </c>
      <c r="E78" s="73" t="s">
        <v>82</v>
      </c>
      <c r="F78" s="93"/>
      <c r="G78" s="11" t="s">
        <v>34</v>
      </c>
      <c r="H78" s="93"/>
      <c r="I78" s="74" t="s">
        <v>87</v>
      </c>
      <c r="J78" s="64" t="s">
        <v>83</v>
      </c>
    </row>
    <row r="79" spans="1:10" ht="19.5" customHeight="1" x14ac:dyDescent="0.25">
      <c r="A79" s="32">
        <v>58</v>
      </c>
      <c r="B79" s="7" t="s">
        <v>145</v>
      </c>
      <c r="C79" s="61">
        <v>0.83333333333333337</v>
      </c>
      <c r="D79" s="33" t="s">
        <v>80</v>
      </c>
      <c r="E79" s="73" t="s">
        <v>88</v>
      </c>
      <c r="F79" s="93"/>
      <c r="G79" s="11" t="s">
        <v>34</v>
      </c>
      <c r="H79" s="93"/>
      <c r="I79" s="74" t="s">
        <v>81</v>
      </c>
      <c r="J79" s="64" t="s">
        <v>115</v>
      </c>
    </row>
    <row r="80" spans="1:10" ht="19.5" customHeight="1" x14ac:dyDescent="0.25">
      <c r="A80" s="20">
        <v>59</v>
      </c>
      <c r="B80" s="7" t="s">
        <v>145</v>
      </c>
      <c r="C80" s="61">
        <v>0.95833333333333337</v>
      </c>
      <c r="D80" s="21" t="s">
        <v>55</v>
      </c>
      <c r="E80" s="67" t="s">
        <v>74</v>
      </c>
      <c r="F80" s="90"/>
      <c r="G80" s="11" t="s">
        <v>34</v>
      </c>
      <c r="H80" s="90"/>
      <c r="I80" s="68" t="s">
        <v>56</v>
      </c>
      <c r="J80" s="64" t="s">
        <v>58</v>
      </c>
    </row>
    <row r="81" spans="1:10" ht="19.5" customHeight="1" x14ac:dyDescent="0.25">
      <c r="A81" s="20">
        <v>60</v>
      </c>
      <c r="B81" s="7" t="s">
        <v>145</v>
      </c>
      <c r="C81" s="61">
        <v>0.95833333333333337</v>
      </c>
      <c r="D81" s="21" t="s">
        <v>55</v>
      </c>
      <c r="E81" s="67" t="s">
        <v>57</v>
      </c>
      <c r="F81" s="90"/>
      <c r="G81" s="11" t="s">
        <v>34</v>
      </c>
      <c r="H81" s="90"/>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c r="G83" s="11" t="s">
        <v>34</v>
      </c>
      <c r="H83" s="96"/>
      <c r="I83" s="80" t="s">
        <v>108</v>
      </c>
      <c r="J83" s="64" t="s">
        <v>64</v>
      </c>
    </row>
    <row r="84" spans="1:10" ht="19.5" customHeight="1" x14ac:dyDescent="0.25">
      <c r="A84" s="44">
        <v>62</v>
      </c>
      <c r="B84" s="7" t="s">
        <v>147</v>
      </c>
      <c r="C84" s="61">
        <v>0.66666666666666663</v>
      </c>
      <c r="D84" s="45" t="s">
        <v>107</v>
      </c>
      <c r="E84" s="79" t="s">
        <v>109</v>
      </c>
      <c r="F84" s="96"/>
      <c r="G84" s="11" t="s">
        <v>34</v>
      </c>
      <c r="H84" s="96"/>
      <c r="I84" s="80" t="s">
        <v>110</v>
      </c>
      <c r="J84" s="64" t="s">
        <v>54</v>
      </c>
    </row>
    <row r="85" spans="1:10" ht="19.5" customHeight="1" x14ac:dyDescent="0.25">
      <c r="A85" s="36">
        <v>63</v>
      </c>
      <c r="B85" s="7" t="s">
        <v>147</v>
      </c>
      <c r="C85" s="61">
        <v>0.875</v>
      </c>
      <c r="D85" s="37" t="s">
        <v>92</v>
      </c>
      <c r="E85" s="75" t="s">
        <v>94</v>
      </c>
      <c r="F85" s="94"/>
      <c r="G85" s="11" t="s">
        <v>34</v>
      </c>
      <c r="H85" s="94"/>
      <c r="I85" s="76" t="s">
        <v>100</v>
      </c>
      <c r="J85" s="64" t="s">
        <v>79</v>
      </c>
    </row>
    <row r="86" spans="1:10" ht="19.5" customHeight="1" x14ac:dyDescent="0.25">
      <c r="A86" s="36">
        <v>64</v>
      </c>
      <c r="B86" s="7" t="s">
        <v>147</v>
      </c>
      <c r="C86" s="61">
        <v>0.875</v>
      </c>
      <c r="D86" s="37" t="s">
        <v>92</v>
      </c>
      <c r="E86" s="75" t="s">
        <v>101</v>
      </c>
      <c r="F86" s="94"/>
      <c r="G86" s="11" t="s">
        <v>34</v>
      </c>
      <c r="H86" s="94"/>
      <c r="I86" s="76" t="s">
        <v>93</v>
      </c>
      <c r="J86" s="64" t="s">
        <v>48</v>
      </c>
    </row>
    <row r="87" spans="1:10" ht="19.5" customHeight="1" x14ac:dyDescent="0.25">
      <c r="A87" s="40">
        <v>65</v>
      </c>
      <c r="B87" s="7" t="s">
        <v>147</v>
      </c>
      <c r="C87" s="61">
        <v>0.99930555555555556</v>
      </c>
      <c r="D87" s="41" t="s">
        <v>96</v>
      </c>
      <c r="E87" s="77" t="s">
        <v>98</v>
      </c>
      <c r="F87" s="95"/>
      <c r="G87" s="11" t="s">
        <v>34</v>
      </c>
      <c r="H87" s="95"/>
      <c r="I87" s="78" t="s">
        <v>103</v>
      </c>
      <c r="J87" s="64" t="s">
        <v>99</v>
      </c>
    </row>
    <row r="88" spans="1:10" ht="19.5" customHeight="1" x14ac:dyDescent="0.25">
      <c r="A88" s="40">
        <v>66</v>
      </c>
      <c r="B88" s="7" t="s">
        <v>147</v>
      </c>
      <c r="C88" s="61">
        <v>0.99930555555555556</v>
      </c>
      <c r="D88" s="41" t="s">
        <v>96</v>
      </c>
      <c r="E88" s="77" t="s">
        <v>104</v>
      </c>
      <c r="F88" s="95"/>
      <c r="G88" s="11" t="s">
        <v>34</v>
      </c>
      <c r="H88" s="95"/>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c r="G90" s="11" t="s">
        <v>34</v>
      </c>
      <c r="H90" s="99"/>
      <c r="I90" s="86" t="s">
        <v>124</v>
      </c>
      <c r="J90" s="64" t="s">
        <v>67</v>
      </c>
    </row>
    <row r="91" spans="1:10" ht="19.5" customHeight="1" x14ac:dyDescent="0.25">
      <c r="A91" s="56">
        <v>68</v>
      </c>
      <c r="B91" s="7" t="s">
        <v>149</v>
      </c>
      <c r="C91" s="61">
        <v>0.75</v>
      </c>
      <c r="D91" s="57" t="s">
        <v>123</v>
      </c>
      <c r="E91" s="85" t="s">
        <v>125</v>
      </c>
      <c r="F91" s="99"/>
      <c r="G91" s="11" t="s">
        <v>34</v>
      </c>
      <c r="H91" s="99"/>
      <c r="I91" s="86" t="s">
        <v>126</v>
      </c>
      <c r="J91" s="64" t="s">
        <v>86</v>
      </c>
    </row>
    <row r="92" spans="1:10" ht="19.5" customHeight="1" x14ac:dyDescent="0.25">
      <c r="A92" s="52">
        <v>69</v>
      </c>
      <c r="B92" s="7" t="s">
        <v>149</v>
      </c>
      <c r="C92" s="61">
        <v>0.85416666666666663</v>
      </c>
      <c r="D92" s="53" t="s">
        <v>120</v>
      </c>
      <c r="E92" s="83" t="s">
        <v>129</v>
      </c>
      <c r="F92" s="98"/>
      <c r="G92" s="11" t="s">
        <v>34</v>
      </c>
      <c r="H92" s="98"/>
      <c r="I92" s="84" t="s">
        <v>121</v>
      </c>
      <c r="J92" s="64" t="s">
        <v>102</v>
      </c>
    </row>
    <row r="93" spans="1:10" ht="19.5" customHeight="1" x14ac:dyDescent="0.25">
      <c r="A93" s="52">
        <v>70</v>
      </c>
      <c r="B93" s="7" t="s">
        <v>149</v>
      </c>
      <c r="C93" s="61">
        <v>0.85416666666666663</v>
      </c>
      <c r="D93" s="53" t="s">
        <v>120</v>
      </c>
      <c r="E93" s="83" t="s">
        <v>122</v>
      </c>
      <c r="F93" s="98"/>
      <c r="G93" s="11" t="s">
        <v>34</v>
      </c>
      <c r="H93" s="98"/>
      <c r="I93" s="84" t="s">
        <v>128</v>
      </c>
      <c r="J93" s="64" t="s">
        <v>95</v>
      </c>
    </row>
    <row r="94" spans="1:10" ht="19.5" customHeight="1" x14ac:dyDescent="0.25">
      <c r="A94" s="48">
        <v>71</v>
      </c>
      <c r="B94" s="7" t="s">
        <v>149</v>
      </c>
      <c r="C94" s="61">
        <v>0.95833333333333337</v>
      </c>
      <c r="D94" s="49" t="s">
        <v>112</v>
      </c>
      <c r="E94" s="81" t="s">
        <v>114</v>
      </c>
      <c r="F94" s="97"/>
      <c r="G94" s="11" t="s">
        <v>34</v>
      </c>
      <c r="H94" s="97"/>
      <c r="I94" s="82" t="s">
        <v>118</v>
      </c>
      <c r="J94" s="64" t="s">
        <v>115</v>
      </c>
    </row>
    <row r="95" spans="1:10" ht="19.5" customHeight="1" x14ac:dyDescent="0.25">
      <c r="A95" s="48">
        <v>72</v>
      </c>
      <c r="B95" s="7" t="s">
        <v>149</v>
      </c>
      <c r="C95" s="61">
        <v>0.95833333333333337</v>
      </c>
      <c r="D95" s="49" t="s">
        <v>112</v>
      </c>
      <c r="E95" s="81" t="s">
        <v>119</v>
      </c>
      <c r="F95" s="97"/>
      <c r="G95" s="11" t="s">
        <v>34</v>
      </c>
      <c r="H95" s="97"/>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13"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12"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C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J1000"/>
  <sheetViews>
    <sheetView topLeftCell="B25" zoomScaleNormal="100" workbookViewId="0">
      <selection activeCell="F14" sqref="F14"/>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179</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2</v>
      </c>
      <c r="G8" s="11" t="s">
        <v>34</v>
      </c>
      <c r="H8" s="88">
        <v>1</v>
      </c>
      <c r="I8" s="63" t="s">
        <v>44</v>
      </c>
      <c r="J8" s="64" t="s">
        <v>45</v>
      </c>
    </row>
    <row r="9" spans="1:10" ht="19.5" customHeight="1" x14ac:dyDescent="0.25">
      <c r="A9" s="6">
        <v>2</v>
      </c>
      <c r="B9" s="7" t="s">
        <v>41</v>
      </c>
      <c r="C9" s="61">
        <v>0.95833333333333337</v>
      </c>
      <c r="D9" s="8" t="s">
        <v>42</v>
      </c>
      <c r="E9" s="62" t="s">
        <v>46</v>
      </c>
      <c r="F9" s="88">
        <v>1</v>
      </c>
      <c r="G9" s="11" t="s">
        <v>34</v>
      </c>
      <c r="H9" s="88">
        <v>2</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2</v>
      </c>
      <c r="G11" s="11" t="s">
        <v>34</v>
      </c>
      <c r="H11" s="89">
        <v>1</v>
      </c>
      <c r="I11" s="66" t="s">
        <v>53</v>
      </c>
      <c r="J11" s="64" t="s">
        <v>54</v>
      </c>
    </row>
    <row r="12" spans="1:10" ht="19.5" customHeight="1" x14ac:dyDescent="0.25">
      <c r="A12" s="20">
        <v>4</v>
      </c>
      <c r="B12" s="7" t="s">
        <v>50</v>
      </c>
      <c r="C12" s="61">
        <v>0.66666666666666663</v>
      </c>
      <c r="D12" s="21" t="s">
        <v>55</v>
      </c>
      <c r="E12" s="67" t="s">
        <v>56</v>
      </c>
      <c r="F12" s="90">
        <v>2</v>
      </c>
      <c r="G12" s="11" t="s">
        <v>34</v>
      </c>
      <c r="H12" s="90">
        <v>0</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1</v>
      </c>
      <c r="G14" s="11" t="s">
        <v>34</v>
      </c>
      <c r="H14" s="91">
        <v>2</v>
      </c>
      <c r="I14" s="70" t="s">
        <v>63</v>
      </c>
      <c r="J14" s="64" t="s">
        <v>64</v>
      </c>
    </row>
    <row r="15" spans="1:10" ht="19.5" customHeight="1" x14ac:dyDescent="0.25">
      <c r="A15" s="24">
        <v>6</v>
      </c>
      <c r="B15" s="7" t="s">
        <v>60</v>
      </c>
      <c r="C15" s="61">
        <v>0.79166666666666663</v>
      </c>
      <c r="D15" s="25" t="s">
        <v>61</v>
      </c>
      <c r="E15" s="69" t="s">
        <v>65</v>
      </c>
      <c r="F15" s="91">
        <v>3</v>
      </c>
      <c r="G15" s="11" t="s">
        <v>34</v>
      </c>
      <c r="H15" s="91">
        <v>0</v>
      </c>
      <c r="I15" s="70" t="s">
        <v>66</v>
      </c>
      <c r="J15" s="64" t="s">
        <v>67</v>
      </c>
    </row>
    <row r="16" spans="1:10" ht="19.5" customHeight="1" x14ac:dyDescent="0.25">
      <c r="A16" s="16">
        <v>7</v>
      </c>
      <c r="B16" s="7" t="s">
        <v>60</v>
      </c>
      <c r="C16" s="61">
        <v>0.66666666666666663</v>
      </c>
      <c r="D16" s="17" t="s">
        <v>51</v>
      </c>
      <c r="E16" s="65" t="s">
        <v>68</v>
      </c>
      <c r="F16" s="89">
        <v>1</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1</v>
      </c>
      <c r="G18" s="11" t="s">
        <v>34</v>
      </c>
      <c r="H18" s="90">
        <v>2</v>
      </c>
      <c r="I18" s="68" t="s">
        <v>74</v>
      </c>
      <c r="J18" s="64" t="s">
        <v>75</v>
      </c>
    </row>
    <row r="19" spans="1:10" ht="19.5" customHeight="1" x14ac:dyDescent="0.25">
      <c r="A19" s="28">
        <v>9</v>
      </c>
      <c r="B19" s="7" t="s">
        <v>72</v>
      </c>
      <c r="C19" s="61">
        <v>0.58333333333333337</v>
      </c>
      <c r="D19" s="29" t="s">
        <v>76</v>
      </c>
      <c r="E19" s="71" t="s">
        <v>77</v>
      </c>
      <c r="F19" s="92">
        <v>3</v>
      </c>
      <c r="G19" s="11" t="s">
        <v>34</v>
      </c>
      <c r="H19" s="92">
        <v>0</v>
      </c>
      <c r="I19" s="72" t="s">
        <v>78</v>
      </c>
      <c r="J19" s="64" t="s">
        <v>79</v>
      </c>
    </row>
    <row r="20" spans="1:10" ht="19.5" customHeight="1" x14ac:dyDescent="0.25">
      <c r="A20" s="32">
        <v>10</v>
      </c>
      <c r="B20" s="7" t="s">
        <v>72</v>
      </c>
      <c r="C20" s="61">
        <v>0.70833333333333337</v>
      </c>
      <c r="D20" s="33" t="s">
        <v>80</v>
      </c>
      <c r="E20" s="73" t="s">
        <v>81</v>
      </c>
      <c r="F20" s="93">
        <v>2</v>
      </c>
      <c r="G20" s="11" t="s">
        <v>34</v>
      </c>
      <c r="H20" s="93">
        <v>1</v>
      </c>
      <c r="I20" s="74" t="s">
        <v>82</v>
      </c>
      <c r="J20" s="64" t="s">
        <v>83</v>
      </c>
    </row>
    <row r="21" spans="1:10" ht="19.5" customHeight="1" x14ac:dyDescent="0.25">
      <c r="A21" s="28">
        <v>11</v>
      </c>
      <c r="B21" s="7" t="s">
        <v>72</v>
      </c>
      <c r="C21" s="61">
        <v>0.83333333333333337</v>
      </c>
      <c r="D21" s="29" t="s">
        <v>76</v>
      </c>
      <c r="E21" s="71" t="s">
        <v>84</v>
      </c>
      <c r="F21" s="92">
        <v>1</v>
      </c>
      <c r="G21" s="11" t="s">
        <v>34</v>
      </c>
      <c r="H21" s="92">
        <v>1</v>
      </c>
      <c r="I21" s="72" t="s">
        <v>85</v>
      </c>
      <c r="J21" s="64" t="s">
        <v>86</v>
      </c>
    </row>
    <row r="22" spans="1:10" ht="19.5" customHeight="1" x14ac:dyDescent="0.25">
      <c r="A22" s="32">
        <v>12</v>
      </c>
      <c r="B22" s="7" t="s">
        <v>72</v>
      </c>
      <c r="C22" s="61">
        <v>0.95833333333333337</v>
      </c>
      <c r="D22" s="33" t="s">
        <v>80</v>
      </c>
      <c r="E22" s="73" t="s">
        <v>87</v>
      </c>
      <c r="F22" s="93">
        <v>1</v>
      </c>
      <c r="G22" s="11" t="s">
        <v>34</v>
      </c>
      <c r="H22" s="93">
        <v>1</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3</v>
      </c>
      <c r="G24" s="11" t="s">
        <v>34</v>
      </c>
      <c r="H24" s="94">
        <v>0</v>
      </c>
      <c r="I24" s="76" t="s">
        <v>94</v>
      </c>
      <c r="J24" s="64" t="s">
        <v>95</v>
      </c>
    </row>
    <row r="25" spans="1:10" ht="19.5" customHeight="1" x14ac:dyDescent="0.25">
      <c r="A25" s="40">
        <v>14</v>
      </c>
      <c r="B25" s="7" t="s">
        <v>91</v>
      </c>
      <c r="C25" s="61">
        <v>0.66666666666666663</v>
      </c>
      <c r="D25" s="41" t="s">
        <v>96</v>
      </c>
      <c r="E25" s="77" t="s">
        <v>97</v>
      </c>
      <c r="F25" s="95">
        <v>3</v>
      </c>
      <c r="G25" s="11" t="s">
        <v>34</v>
      </c>
      <c r="H25" s="95">
        <v>0</v>
      </c>
      <c r="I25" s="78" t="s">
        <v>98</v>
      </c>
      <c r="J25" s="64" t="s">
        <v>99</v>
      </c>
    </row>
    <row r="26" spans="1:10" ht="19.5" customHeight="1" x14ac:dyDescent="0.25">
      <c r="A26" s="36">
        <v>15</v>
      </c>
      <c r="B26" s="7" t="s">
        <v>91</v>
      </c>
      <c r="C26" s="61">
        <v>0.79166666666666663</v>
      </c>
      <c r="D26" s="37" t="s">
        <v>92</v>
      </c>
      <c r="E26" s="75" t="s">
        <v>100</v>
      </c>
      <c r="F26" s="94">
        <v>0</v>
      </c>
      <c r="G26" s="11" t="s">
        <v>34</v>
      </c>
      <c r="H26" s="94">
        <v>3</v>
      </c>
      <c r="I26" s="76" t="s">
        <v>101</v>
      </c>
      <c r="J26" s="64" t="s">
        <v>102</v>
      </c>
    </row>
    <row r="27" spans="1:10" ht="19.5" customHeight="1" x14ac:dyDescent="0.25">
      <c r="A27" s="40">
        <v>16</v>
      </c>
      <c r="B27" s="7" t="s">
        <v>91</v>
      </c>
      <c r="C27" s="61">
        <v>0.91666666666666663</v>
      </c>
      <c r="D27" s="41" t="s">
        <v>96</v>
      </c>
      <c r="E27" s="77" t="s">
        <v>103</v>
      </c>
      <c r="F27" s="95">
        <v>1</v>
      </c>
      <c r="G27" s="11" t="s">
        <v>34</v>
      </c>
      <c r="H27" s="95">
        <v>1</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3</v>
      </c>
      <c r="G29" s="11" t="s">
        <v>34</v>
      </c>
      <c r="H29" s="96">
        <v>0</v>
      </c>
      <c r="I29" s="80" t="s">
        <v>109</v>
      </c>
      <c r="J29" s="64" t="s">
        <v>67</v>
      </c>
    </row>
    <row r="30" spans="1:10" ht="19.5" customHeight="1" x14ac:dyDescent="0.25">
      <c r="A30" s="44">
        <v>18</v>
      </c>
      <c r="B30" s="7" t="s">
        <v>106</v>
      </c>
      <c r="C30" s="61">
        <v>0.79166666666666663</v>
      </c>
      <c r="D30" s="45" t="s">
        <v>107</v>
      </c>
      <c r="E30" s="79" t="s">
        <v>110</v>
      </c>
      <c r="F30" s="96">
        <v>1</v>
      </c>
      <c r="G30" s="11" t="s">
        <v>34</v>
      </c>
      <c r="H30" s="96">
        <v>1</v>
      </c>
      <c r="I30" s="80" t="s">
        <v>111</v>
      </c>
      <c r="J30" s="64" t="s">
        <v>64</v>
      </c>
    </row>
    <row r="31" spans="1:10" ht="19.5" customHeight="1" x14ac:dyDescent="0.25">
      <c r="A31" s="48">
        <v>19</v>
      </c>
      <c r="B31" s="7" t="s">
        <v>106</v>
      </c>
      <c r="C31" s="61">
        <v>0.91666666666666663</v>
      </c>
      <c r="D31" s="49" t="s">
        <v>112</v>
      </c>
      <c r="E31" s="81" t="s">
        <v>113</v>
      </c>
      <c r="F31" s="97">
        <v>3</v>
      </c>
      <c r="G31" s="11" t="s">
        <v>34</v>
      </c>
      <c r="H31" s="97">
        <v>0</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1</v>
      </c>
      <c r="G33" s="11" t="s">
        <v>34</v>
      </c>
      <c r="H33" s="97">
        <v>1</v>
      </c>
      <c r="I33" s="82" t="s">
        <v>119</v>
      </c>
      <c r="J33" s="64" t="s">
        <v>70</v>
      </c>
    </row>
    <row r="34" spans="1:10" ht="19.5" customHeight="1" x14ac:dyDescent="0.25">
      <c r="A34" s="52">
        <v>21</v>
      </c>
      <c r="B34" s="7" t="s">
        <v>117</v>
      </c>
      <c r="C34" s="61">
        <v>0.58333333333333337</v>
      </c>
      <c r="D34" s="53" t="s">
        <v>120</v>
      </c>
      <c r="E34" s="83" t="s">
        <v>121</v>
      </c>
      <c r="F34" s="98">
        <v>3</v>
      </c>
      <c r="G34" s="11" t="s">
        <v>34</v>
      </c>
      <c r="H34" s="98">
        <v>0</v>
      </c>
      <c r="I34" s="84" t="s">
        <v>122</v>
      </c>
      <c r="J34" s="64" t="s">
        <v>79</v>
      </c>
    </row>
    <row r="35" spans="1:10" ht="19.5" customHeight="1" x14ac:dyDescent="0.25">
      <c r="A35" s="56">
        <v>22</v>
      </c>
      <c r="B35" s="7" t="s">
        <v>117</v>
      </c>
      <c r="C35" s="61">
        <v>0.70833333333333337</v>
      </c>
      <c r="D35" s="57" t="s">
        <v>123</v>
      </c>
      <c r="E35" s="85" t="s">
        <v>124</v>
      </c>
      <c r="F35" s="99">
        <v>2</v>
      </c>
      <c r="G35" s="11" t="s">
        <v>34</v>
      </c>
      <c r="H35" s="99">
        <v>1</v>
      </c>
      <c r="I35" s="86" t="s">
        <v>125</v>
      </c>
      <c r="J35" s="64" t="s">
        <v>83</v>
      </c>
    </row>
    <row r="36" spans="1:10" ht="19.5" customHeight="1" x14ac:dyDescent="0.25">
      <c r="A36" s="56">
        <v>23</v>
      </c>
      <c r="B36" s="7" t="s">
        <v>117</v>
      </c>
      <c r="C36" s="61">
        <v>0.83333333333333337</v>
      </c>
      <c r="D36" s="57" t="s">
        <v>123</v>
      </c>
      <c r="E36" s="85" t="s">
        <v>126</v>
      </c>
      <c r="F36" s="99">
        <v>1</v>
      </c>
      <c r="G36" s="11" t="s">
        <v>34</v>
      </c>
      <c r="H36" s="99">
        <v>1</v>
      </c>
      <c r="I36" s="86" t="s">
        <v>127</v>
      </c>
      <c r="J36" s="64" t="s">
        <v>54</v>
      </c>
    </row>
    <row r="37" spans="1:10" ht="19.5" customHeight="1" x14ac:dyDescent="0.25">
      <c r="A37" s="52">
        <v>24</v>
      </c>
      <c r="B37" s="7" t="s">
        <v>117</v>
      </c>
      <c r="C37" s="61">
        <v>0.95833333333333337</v>
      </c>
      <c r="D37" s="53" t="s">
        <v>120</v>
      </c>
      <c r="E37" s="83" t="s">
        <v>128</v>
      </c>
      <c r="F37" s="98">
        <v>1</v>
      </c>
      <c r="G37" s="11" t="s">
        <v>34</v>
      </c>
      <c r="H37" s="98">
        <v>1</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1</v>
      </c>
      <c r="G39" s="11" t="s">
        <v>34</v>
      </c>
      <c r="H39" s="88">
        <v>1</v>
      </c>
      <c r="I39" s="63" t="s">
        <v>44</v>
      </c>
      <c r="J39" s="64" t="s">
        <v>95</v>
      </c>
    </row>
    <row r="40" spans="1:10" ht="19.5" customHeight="1" x14ac:dyDescent="0.25">
      <c r="A40" s="16">
        <v>26</v>
      </c>
      <c r="B40" s="7" t="s">
        <v>131</v>
      </c>
      <c r="C40" s="61">
        <v>0.66666666666666663</v>
      </c>
      <c r="D40" s="17" t="s">
        <v>51</v>
      </c>
      <c r="E40" s="65" t="s">
        <v>69</v>
      </c>
      <c r="F40" s="89">
        <v>2</v>
      </c>
      <c r="G40" s="11" t="s">
        <v>34</v>
      </c>
      <c r="H40" s="89">
        <v>1</v>
      </c>
      <c r="I40" s="66" t="s">
        <v>53</v>
      </c>
      <c r="J40" s="64" t="s">
        <v>58</v>
      </c>
    </row>
    <row r="41" spans="1:10" ht="19.5" customHeight="1" x14ac:dyDescent="0.25">
      <c r="A41" s="16">
        <v>27</v>
      </c>
      <c r="B41" s="7" t="s">
        <v>131</v>
      </c>
      <c r="C41" s="61">
        <v>0.79166666666666663</v>
      </c>
      <c r="D41" s="17" t="s">
        <v>51</v>
      </c>
      <c r="E41" s="65" t="s">
        <v>52</v>
      </c>
      <c r="F41" s="89">
        <v>2</v>
      </c>
      <c r="G41" s="11" t="s">
        <v>34</v>
      </c>
      <c r="H41" s="89">
        <v>1</v>
      </c>
      <c r="I41" s="66" t="s">
        <v>68</v>
      </c>
      <c r="J41" s="64" t="s">
        <v>75</v>
      </c>
    </row>
    <row r="42" spans="1:10" ht="19.5" customHeight="1" x14ac:dyDescent="0.25">
      <c r="A42" s="6">
        <v>28</v>
      </c>
      <c r="B42" s="7" t="s">
        <v>131</v>
      </c>
      <c r="C42" s="61">
        <v>0.91666666666666663</v>
      </c>
      <c r="D42" s="8" t="s">
        <v>42</v>
      </c>
      <c r="E42" s="62" t="s">
        <v>43</v>
      </c>
      <c r="F42" s="88">
        <v>2</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1</v>
      </c>
      <c r="I44" s="68" t="s">
        <v>73</v>
      </c>
      <c r="J44" s="64" t="s">
        <v>99</v>
      </c>
    </row>
    <row r="45" spans="1:10" ht="19.5" customHeight="1" x14ac:dyDescent="0.25">
      <c r="A45" s="24">
        <v>30</v>
      </c>
      <c r="B45" s="7" t="s">
        <v>133</v>
      </c>
      <c r="C45" s="61">
        <v>0.79166666666666663</v>
      </c>
      <c r="D45" s="25" t="s">
        <v>61</v>
      </c>
      <c r="E45" s="69" t="s">
        <v>63</v>
      </c>
      <c r="F45" s="91">
        <v>1</v>
      </c>
      <c r="G45" s="11" t="s">
        <v>34</v>
      </c>
      <c r="H45" s="91">
        <v>2</v>
      </c>
      <c r="I45" s="70" t="s">
        <v>66</v>
      </c>
      <c r="J45" s="64" t="s">
        <v>64</v>
      </c>
    </row>
    <row r="46" spans="1:10" ht="19.5" customHeight="1" x14ac:dyDescent="0.25">
      <c r="A46" s="24">
        <v>31</v>
      </c>
      <c r="B46" s="7" t="s">
        <v>133</v>
      </c>
      <c r="C46" s="61">
        <v>0.89583333333333337</v>
      </c>
      <c r="D46" s="25" t="s">
        <v>61</v>
      </c>
      <c r="E46" s="69" t="s">
        <v>65</v>
      </c>
      <c r="F46" s="91">
        <v>3</v>
      </c>
      <c r="G46" s="11" t="s">
        <v>34</v>
      </c>
      <c r="H46" s="91">
        <v>0</v>
      </c>
      <c r="I46" s="70" t="s">
        <v>62</v>
      </c>
      <c r="J46" s="64" t="s">
        <v>86</v>
      </c>
    </row>
    <row r="47" spans="1:10" ht="19.5" customHeight="1" x14ac:dyDescent="0.25">
      <c r="A47" s="20">
        <v>32</v>
      </c>
      <c r="B47" s="7" t="s">
        <v>133</v>
      </c>
      <c r="C47" s="61">
        <v>0.99930555555555556</v>
      </c>
      <c r="D47" s="21" t="s">
        <v>55</v>
      </c>
      <c r="E47" s="67" t="s">
        <v>74</v>
      </c>
      <c r="F47" s="90">
        <v>1</v>
      </c>
      <c r="G47" s="11" t="s">
        <v>34</v>
      </c>
      <c r="H47" s="90">
        <v>1</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3</v>
      </c>
      <c r="G49" s="11" t="s">
        <v>34</v>
      </c>
      <c r="H49" s="93">
        <v>0</v>
      </c>
      <c r="I49" s="74" t="s">
        <v>87</v>
      </c>
      <c r="J49" s="64" t="s">
        <v>79</v>
      </c>
    </row>
    <row r="50" spans="1:10" ht="19.5" customHeight="1" x14ac:dyDescent="0.25">
      <c r="A50" s="28">
        <v>34</v>
      </c>
      <c r="B50" s="7" t="s">
        <v>135</v>
      </c>
      <c r="C50" s="61">
        <v>0.70833333333333337</v>
      </c>
      <c r="D50" s="29" t="s">
        <v>76</v>
      </c>
      <c r="E50" s="71" t="s">
        <v>77</v>
      </c>
      <c r="F50" s="92">
        <v>3</v>
      </c>
      <c r="G50" s="11" t="s">
        <v>34</v>
      </c>
      <c r="H50" s="92">
        <v>0</v>
      </c>
      <c r="I50" s="72" t="s">
        <v>84</v>
      </c>
      <c r="J50" s="64" t="s">
        <v>54</v>
      </c>
    </row>
    <row r="51" spans="1:10" ht="19.5" customHeight="1" x14ac:dyDescent="0.25">
      <c r="A51" s="28">
        <v>35</v>
      </c>
      <c r="B51" s="7" t="s">
        <v>135</v>
      </c>
      <c r="C51" s="61">
        <v>0.875</v>
      </c>
      <c r="D51" s="29" t="s">
        <v>76</v>
      </c>
      <c r="E51" s="71" t="s">
        <v>85</v>
      </c>
      <c r="F51" s="92">
        <v>2</v>
      </c>
      <c r="G51" s="11" t="s">
        <v>34</v>
      </c>
      <c r="H51" s="92">
        <v>1</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1</v>
      </c>
      <c r="G53" s="11" t="s">
        <v>34</v>
      </c>
      <c r="H53" s="93">
        <v>2</v>
      </c>
      <c r="I53" s="74" t="s">
        <v>82</v>
      </c>
      <c r="J53" s="64" t="s">
        <v>89</v>
      </c>
    </row>
    <row r="54" spans="1:10" ht="19.5" customHeight="1" x14ac:dyDescent="0.25">
      <c r="A54" s="36">
        <v>37</v>
      </c>
      <c r="B54" s="7" t="s">
        <v>137</v>
      </c>
      <c r="C54" s="61">
        <v>0.54166666666666663</v>
      </c>
      <c r="D54" s="37" t="s">
        <v>92</v>
      </c>
      <c r="E54" s="75" t="s">
        <v>93</v>
      </c>
      <c r="F54" s="94">
        <v>3</v>
      </c>
      <c r="G54" s="11" t="s">
        <v>34</v>
      </c>
      <c r="H54" s="94">
        <v>0</v>
      </c>
      <c r="I54" s="76" t="s">
        <v>100</v>
      </c>
      <c r="J54" s="64" t="s">
        <v>95</v>
      </c>
    </row>
    <row r="55" spans="1:10" ht="19.5" customHeight="1" x14ac:dyDescent="0.25">
      <c r="A55" s="40">
        <v>38</v>
      </c>
      <c r="B55" s="7" t="s">
        <v>137</v>
      </c>
      <c r="C55" s="61">
        <v>0.66666666666666663</v>
      </c>
      <c r="D55" s="41" t="s">
        <v>96</v>
      </c>
      <c r="E55" s="77" t="s">
        <v>97</v>
      </c>
      <c r="F55" s="95">
        <v>3</v>
      </c>
      <c r="G55" s="11" t="s">
        <v>34</v>
      </c>
      <c r="H55" s="95">
        <v>0</v>
      </c>
      <c r="I55" s="78" t="s">
        <v>103</v>
      </c>
      <c r="J55" s="64" t="s">
        <v>58</v>
      </c>
    </row>
    <row r="56" spans="1:10" ht="19.5" customHeight="1" x14ac:dyDescent="0.25">
      <c r="A56" s="36">
        <v>39</v>
      </c>
      <c r="B56" s="7" t="s">
        <v>137</v>
      </c>
      <c r="C56" s="61">
        <v>0.79166666666666663</v>
      </c>
      <c r="D56" s="37" t="s">
        <v>92</v>
      </c>
      <c r="E56" s="75" t="s">
        <v>101</v>
      </c>
      <c r="F56" s="94">
        <v>3</v>
      </c>
      <c r="G56" s="11" t="s">
        <v>34</v>
      </c>
      <c r="H56" s="94">
        <v>0</v>
      </c>
      <c r="I56" s="76" t="s">
        <v>94</v>
      </c>
      <c r="J56" s="64" t="s">
        <v>102</v>
      </c>
    </row>
    <row r="57" spans="1:10" ht="19.5" customHeight="1" x14ac:dyDescent="0.25">
      <c r="A57" s="40">
        <v>40</v>
      </c>
      <c r="B57" s="7" t="s">
        <v>137</v>
      </c>
      <c r="C57" s="61">
        <v>0.91666666666666663</v>
      </c>
      <c r="D57" s="41" t="s">
        <v>96</v>
      </c>
      <c r="E57" s="77" t="s">
        <v>104</v>
      </c>
      <c r="F57" s="95">
        <v>1</v>
      </c>
      <c r="G57" s="11" t="s">
        <v>34</v>
      </c>
      <c r="H57" s="95">
        <v>1</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3</v>
      </c>
      <c r="G59" s="11" t="s">
        <v>34</v>
      </c>
      <c r="H59" s="97">
        <v>0</v>
      </c>
      <c r="I59" s="82" t="s">
        <v>118</v>
      </c>
      <c r="J59" s="64" t="s">
        <v>83</v>
      </c>
    </row>
    <row r="60" spans="1:10" ht="19.5" customHeight="1" x14ac:dyDescent="0.25">
      <c r="A60" s="44">
        <v>42</v>
      </c>
      <c r="B60" s="7" t="s">
        <v>139</v>
      </c>
      <c r="C60" s="61">
        <v>0.75</v>
      </c>
      <c r="D60" s="45" t="s">
        <v>107</v>
      </c>
      <c r="E60" s="79" t="s">
        <v>108</v>
      </c>
      <c r="F60" s="96">
        <v>3</v>
      </c>
      <c r="G60" s="11" t="s">
        <v>34</v>
      </c>
      <c r="H60" s="96">
        <v>0</v>
      </c>
      <c r="I60" s="80" t="s">
        <v>110</v>
      </c>
      <c r="J60" s="64" t="s">
        <v>86</v>
      </c>
    </row>
    <row r="61" spans="1:10" ht="19.5" customHeight="1" x14ac:dyDescent="0.25">
      <c r="A61" s="44">
        <v>43</v>
      </c>
      <c r="B61" s="7" t="s">
        <v>139</v>
      </c>
      <c r="C61" s="61">
        <v>0.875</v>
      </c>
      <c r="D61" s="45" t="s">
        <v>107</v>
      </c>
      <c r="E61" s="79" t="s">
        <v>111</v>
      </c>
      <c r="F61" s="96">
        <v>1</v>
      </c>
      <c r="G61" s="11" t="s">
        <v>34</v>
      </c>
      <c r="H61" s="96">
        <v>1</v>
      </c>
      <c r="I61" s="80" t="s">
        <v>109</v>
      </c>
      <c r="J61" s="64" t="s">
        <v>67</v>
      </c>
    </row>
    <row r="62" spans="1:10" ht="19.5" customHeight="1" x14ac:dyDescent="0.25">
      <c r="A62" s="48">
        <v>44</v>
      </c>
      <c r="B62" s="7" t="s">
        <v>139</v>
      </c>
      <c r="C62" s="61">
        <v>0.99930555555555556</v>
      </c>
      <c r="D62" s="49" t="s">
        <v>112</v>
      </c>
      <c r="E62" s="81" t="s">
        <v>119</v>
      </c>
      <c r="F62" s="97">
        <v>1</v>
      </c>
      <c r="G62" s="11" t="s">
        <v>34</v>
      </c>
      <c r="H62" s="97">
        <v>1</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3</v>
      </c>
      <c r="G64" s="11" t="s">
        <v>34</v>
      </c>
      <c r="H64" s="98">
        <v>0</v>
      </c>
      <c r="I64" s="84" t="s">
        <v>128</v>
      </c>
      <c r="J64" s="64" t="s">
        <v>79</v>
      </c>
    </row>
    <row r="65" spans="1:10" ht="19.5" customHeight="1" x14ac:dyDescent="0.25">
      <c r="A65" s="56">
        <v>46</v>
      </c>
      <c r="B65" s="7" t="s">
        <v>141</v>
      </c>
      <c r="C65" s="61">
        <v>0.70833333333333337</v>
      </c>
      <c r="D65" s="57" t="s">
        <v>123</v>
      </c>
      <c r="E65" s="85" t="s">
        <v>124</v>
      </c>
      <c r="F65" s="99">
        <v>3</v>
      </c>
      <c r="G65" s="11" t="s">
        <v>34</v>
      </c>
      <c r="H65" s="99">
        <v>0</v>
      </c>
      <c r="I65" s="86" t="s">
        <v>126</v>
      </c>
      <c r="J65" s="64" t="s">
        <v>64</v>
      </c>
    </row>
    <row r="66" spans="1:10" ht="19.5" customHeight="1" x14ac:dyDescent="0.25">
      <c r="A66" s="56">
        <v>47</v>
      </c>
      <c r="B66" s="7" t="s">
        <v>141</v>
      </c>
      <c r="C66" s="61">
        <v>0.83333333333333337</v>
      </c>
      <c r="D66" s="57" t="s">
        <v>123</v>
      </c>
      <c r="E66" s="85" t="s">
        <v>127</v>
      </c>
      <c r="F66" s="99">
        <v>0</v>
      </c>
      <c r="G66" s="11" t="s">
        <v>34</v>
      </c>
      <c r="H66" s="99">
        <v>3</v>
      </c>
      <c r="I66" s="86" t="s">
        <v>125</v>
      </c>
      <c r="J66" s="64" t="s">
        <v>54</v>
      </c>
    </row>
    <row r="67" spans="1:10" ht="19.5" customHeight="1" x14ac:dyDescent="0.25">
      <c r="A67" s="52">
        <v>48</v>
      </c>
      <c r="B67" s="7" t="s">
        <v>141</v>
      </c>
      <c r="C67" s="61">
        <v>0.95833333333333337</v>
      </c>
      <c r="D67" s="53" t="s">
        <v>120</v>
      </c>
      <c r="E67" s="83" t="s">
        <v>129</v>
      </c>
      <c r="F67" s="98">
        <v>1</v>
      </c>
      <c r="G67" s="11" t="s">
        <v>34</v>
      </c>
      <c r="H67" s="98">
        <v>1</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1</v>
      </c>
      <c r="G69" s="11" t="s">
        <v>34</v>
      </c>
      <c r="H69" s="89">
        <v>1</v>
      </c>
      <c r="I69" s="66" t="s">
        <v>52</v>
      </c>
      <c r="J69" s="64" t="s">
        <v>75</v>
      </c>
    </row>
    <row r="70" spans="1:10" ht="19.5" customHeight="1" x14ac:dyDescent="0.25">
      <c r="A70" s="16">
        <v>50</v>
      </c>
      <c r="B70" s="7" t="s">
        <v>143</v>
      </c>
      <c r="C70" s="61">
        <v>0.66666666666666663</v>
      </c>
      <c r="D70" s="17" t="s">
        <v>51</v>
      </c>
      <c r="E70" s="65" t="s">
        <v>53</v>
      </c>
      <c r="F70" s="89">
        <v>1</v>
      </c>
      <c r="G70" s="11" t="s">
        <v>34</v>
      </c>
      <c r="H70" s="89">
        <v>1</v>
      </c>
      <c r="I70" s="66" t="s">
        <v>68</v>
      </c>
      <c r="J70" s="64" t="s">
        <v>99</v>
      </c>
    </row>
    <row r="71" spans="1:10" ht="19.5" customHeight="1" x14ac:dyDescent="0.25">
      <c r="A71" s="24">
        <v>51</v>
      </c>
      <c r="B71" s="7" t="s">
        <v>143</v>
      </c>
      <c r="C71" s="61">
        <v>0.79166666666666663</v>
      </c>
      <c r="D71" s="25" t="s">
        <v>61</v>
      </c>
      <c r="E71" s="69" t="s">
        <v>63</v>
      </c>
      <c r="F71" s="91">
        <v>0</v>
      </c>
      <c r="G71" s="11" t="s">
        <v>34</v>
      </c>
      <c r="H71" s="91">
        <v>3</v>
      </c>
      <c r="I71" s="70" t="s">
        <v>65</v>
      </c>
      <c r="J71" s="64" t="s">
        <v>102</v>
      </c>
    </row>
    <row r="72" spans="1:10" ht="19.5" customHeight="1" x14ac:dyDescent="0.25">
      <c r="A72" s="24">
        <v>52</v>
      </c>
      <c r="B72" s="7" t="s">
        <v>143</v>
      </c>
      <c r="C72" s="61">
        <v>0.79166666666666663</v>
      </c>
      <c r="D72" s="25" t="s">
        <v>61</v>
      </c>
      <c r="E72" s="69" t="s">
        <v>66</v>
      </c>
      <c r="F72" s="91">
        <v>3</v>
      </c>
      <c r="G72" s="11" t="s">
        <v>34</v>
      </c>
      <c r="H72" s="91">
        <v>0</v>
      </c>
      <c r="I72" s="70" t="s">
        <v>62</v>
      </c>
      <c r="J72" s="64" t="s">
        <v>95</v>
      </c>
    </row>
    <row r="73" spans="1:10" ht="19.5" customHeight="1" x14ac:dyDescent="0.25">
      <c r="A73" s="6">
        <v>53</v>
      </c>
      <c r="B73" s="7" t="s">
        <v>143</v>
      </c>
      <c r="C73" s="61">
        <v>0.91666666666666663</v>
      </c>
      <c r="D73" s="8" t="s">
        <v>42</v>
      </c>
      <c r="E73" s="62" t="s">
        <v>47</v>
      </c>
      <c r="F73" s="88">
        <v>1</v>
      </c>
      <c r="G73" s="11" t="s">
        <v>34</v>
      </c>
      <c r="H73" s="88">
        <v>2</v>
      </c>
      <c r="I73" s="63" t="s">
        <v>43</v>
      </c>
      <c r="J73" s="64" t="s">
        <v>45</v>
      </c>
    </row>
    <row r="74" spans="1:10" ht="19.5" customHeight="1" x14ac:dyDescent="0.25">
      <c r="A74" s="6">
        <v>54</v>
      </c>
      <c r="B74" s="7" t="s">
        <v>143</v>
      </c>
      <c r="C74" s="61">
        <v>0.91666666666666663</v>
      </c>
      <c r="D74" s="8" t="s">
        <v>42</v>
      </c>
      <c r="E74" s="62" t="s">
        <v>44</v>
      </c>
      <c r="F74" s="88">
        <v>1</v>
      </c>
      <c r="G74" s="11" t="s">
        <v>34</v>
      </c>
      <c r="H74" s="88">
        <v>1</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1</v>
      </c>
      <c r="G76" s="11" t="s">
        <v>34</v>
      </c>
      <c r="H76" s="92">
        <v>2</v>
      </c>
      <c r="I76" s="72" t="s">
        <v>84</v>
      </c>
      <c r="J76" s="64" t="s">
        <v>86</v>
      </c>
    </row>
    <row r="77" spans="1:10" ht="19.5" customHeight="1" x14ac:dyDescent="0.25">
      <c r="A77" s="28">
        <v>56</v>
      </c>
      <c r="B77" s="7" t="s">
        <v>145</v>
      </c>
      <c r="C77" s="61">
        <v>0.70833333333333337</v>
      </c>
      <c r="D77" s="29" t="s">
        <v>76</v>
      </c>
      <c r="E77" s="71" t="s">
        <v>85</v>
      </c>
      <c r="F77" s="92">
        <v>0</v>
      </c>
      <c r="G77" s="11" t="s">
        <v>34</v>
      </c>
      <c r="H77" s="92">
        <v>3</v>
      </c>
      <c r="I77" s="72" t="s">
        <v>77</v>
      </c>
      <c r="J77" s="64" t="s">
        <v>67</v>
      </c>
    </row>
    <row r="78" spans="1:10" ht="19.5" customHeight="1" x14ac:dyDescent="0.25">
      <c r="A78" s="32">
        <v>57</v>
      </c>
      <c r="B78" s="7" t="s">
        <v>145</v>
      </c>
      <c r="C78" s="61">
        <v>0.83333333333333337</v>
      </c>
      <c r="D78" s="33" t="s">
        <v>80</v>
      </c>
      <c r="E78" s="73" t="s">
        <v>82</v>
      </c>
      <c r="F78" s="93">
        <v>2</v>
      </c>
      <c r="G78" s="11" t="s">
        <v>34</v>
      </c>
      <c r="H78" s="93">
        <v>1</v>
      </c>
      <c r="I78" s="74" t="s">
        <v>87</v>
      </c>
      <c r="J78" s="64" t="s">
        <v>83</v>
      </c>
    </row>
    <row r="79" spans="1:10" ht="19.5" customHeight="1" x14ac:dyDescent="0.25">
      <c r="A79" s="32">
        <v>58</v>
      </c>
      <c r="B79" s="7" t="s">
        <v>145</v>
      </c>
      <c r="C79" s="61">
        <v>0.83333333333333337</v>
      </c>
      <c r="D79" s="33" t="s">
        <v>80</v>
      </c>
      <c r="E79" s="73" t="s">
        <v>88</v>
      </c>
      <c r="F79" s="93">
        <v>0</v>
      </c>
      <c r="G79" s="11" t="s">
        <v>34</v>
      </c>
      <c r="H79" s="93">
        <v>3</v>
      </c>
      <c r="I79" s="74" t="s">
        <v>81</v>
      </c>
      <c r="J79" s="64" t="s">
        <v>115</v>
      </c>
    </row>
    <row r="80" spans="1:10" ht="19.5" customHeight="1" x14ac:dyDescent="0.25">
      <c r="A80" s="20">
        <v>59</v>
      </c>
      <c r="B80" s="7" t="s">
        <v>145</v>
      </c>
      <c r="C80" s="61">
        <v>0.95833333333333337</v>
      </c>
      <c r="D80" s="21" t="s">
        <v>55</v>
      </c>
      <c r="E80" s="67" t="s">
        <v>74</v>
      </c>
      <c r="F80" s="90">
        <v>1</v>
      </c>
      <c r="G80" s="11" t="s">
        <v>34</v>
      </c>
      <c r="H80" s="90">
        <v>1</v>
      </c>
      <c r="I80" s="68" t="s">
        <v>56</v>
      </c>
      <c r="J80" s="64" t="s">
        <v>58</v>
      </c>
    </row>
    <row r="81" spans="1:10" ht="19.5" customHeight="1" x14ac:dyDescent="0.25">
      <c r="A81" s="20">
        <v>60</v>
      </c>
      <c r="B81" s="7" t="s">
        <v>145</v>
      </c>
      <c r="C81" s="61">
        <v>0.95833333333333337</v>
      </c>
      <c r="D81" s="21" t="s">
        <v>55</v>
      </c>
      <c r="E81" s="67" t="s">
        <v>57</v>
      </c>
      <c r="F81" s="90">
        <v>2</v>
      </c>
      <c r="G81" s="11" t="s">
        <v>34</v>
      </c>
      <c r="H81" s="90">
        <v>1</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v>0</v>
      </c>
      <c r="G83" s="11" t="s">
        <v>34</v>
      </c>
      <c r="H83" s="96">
        <v>3</v>
      </c>
      <c r="I83" s="80" t="s">
        <v>108</v>
      </c>
      <c r="J83" s="64" t="s">
        <v>64</v>
      </c>
    </row>
    <row r="84" spans="1:10" ht="19.5" customHeight="1" x14ac:dyDescent="0.25">
      <c r="A84" s="44">
        <v>62</v>
      </c>
      <c r="B84" s="7" t="s">
        <v>147</v>
      </c>
      <c r="C84" s="61">
        <v>0.66666666666666663</v>
      </c>
      <c r="D84" s="45" t="s">
        <v>107</v>
      </c>
      <c r="E84" s="79" t="s">
        <v>109</v>
      </c>
      <c r="F84" s="96">
        <v>1</v>
      </c>
      <c r="G84" s="11" t="s">
        <v>34</v>
      </c>
      <c r="H84" s="96">
        <v>1</v>
      </c>
      <c r="I84" s="80" t="s">
        <v>110</v>
      </c>
      <c r="J84" s="64" t="s">
        <v>54</v>
      </c>
    </row>
    <row r="85" spans="1:10" ht="19.5" customHeight="1" x14ac:dyDescent="0.25">
      <c r="A85" s="36">
        <v>63</v>
      </c>
      <c r="B85" s="7" t="s">
        <v>147</v>
      </c>
      <c r="C85" s="61">
        <v>0.875</v>
      </c>
      <c r="D85" s="37" t="s">
        <v>92</v>
      </c>
      <c r="E85" s="75" t="s">
        <v>94</v>
      </c>
      <c r="F85" s="94">
        <v>1</v>
      </c>
      <c r="G85" s="11" t="s">
        <v>34</v>
      </c>
      <c r="H85" s="94">
        <v>1</v>
      </c>
      <c r="I85" s="76" t="s">
        <v>100</v>
      </c>
      <c r="J85" s="64" t="s">
        <v>79</v>
      </c>
    </row>
    <row r="86" spans="1:10" ht="19.5" customHeight="1" x14ac:dyDescent="0.25">
      <c r="A86" s="36">
        <v>64</v>
      </c>
      <c r="B86" s="7" t="s">
        <v>147</v>
      </c>
      <c r="C86" s="61">
        <v>0.875</v>
      </c>
      <c r="D86" s="37" t="s">
        <v>92</v>
      </c>
      <c r="E86" s="75" t="s">
        <v>101</v>
      </c>
      <c r="F86" s="94">
        <v>1</v>
      </c>
      <c r="G86" s="11" t="s">
        <v>34</v>
      </c>
      <c r="H86" s="94">
        <v>2</v>
      </c>
      <c r="I86" s="76" t="s">
        <v>93</v>
      </c>
      <c r="J86" s="64" t="s">
        <v>48</v>
      </c>
    </row>
    <row r="87" spans="1:10" ht="19.5" customHeight="1" x14ac:dyDescent="0.25">
      <c r="A87" s="40">
        <v>65</v>
      </c>
      <c r="B87" s="7" t="s">
        <v>147</v>
      </c>
      <c r="C87" s="61">
        <v>0.99930555555555556</v>
      </c>
      <c r="D87" s="41" t="s">
        <v>96</v>
      </c>
      <c r="E87" s="77" t="s">
        <v>98</v>
      </c>
      <c r="F87" s="95">
        <v>1</v>
      </c>
      <c r="G87" s="11" t="s">
        <v>34</v>
      </c>
      <c r="H87" s="95">
        <v>1</v>
      </c>
      <c r="I87" s="78" t="s">
        <v>103</v>
      </c>
      <c r="J87" s="64" t="s">
        <v>99</v>
      </c>
    </row>
    <row r="88" spans="1:10" ht="19.5" customHeight="1" x14ac:dyDescent="0.25">
      <c r="A88" s="40">
        <v>66</v>
      </c>
      <c r="B88" s="7" t="s">
        <v>147</v>
      </c>
      <c r="C88" s="61">
        <v>0.99930555555555556</v>
      </c>
      <c r="D88" s="41" t="s">
        <v>96</v>
      </c>
      <c r="E88" s="77" t="s">
        <v>104</v>
      </c>
      <c r="F88" s="95">
        <v>0</v>
      </c>
      <c r="G88" s="11" t="s">
        <v>34</v>
      </c>
      <c r="H88" s="95">
        <v>3</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0</v>
      </c>
      <c r="G90" s="11" t="s">
        <v>34</v>
      </c>
      <c r="H90" s="99">
        <v>3</v>
      </c>
      <c r="I90" s="86" t="s">
        <v>124</v>
      </c>
      <c r="J90" s="64" t="s">
        <v>67</v>
      </c>
    </row>
    <row r="91" spans="1:10" ht="19.5" customHeight="1" x14ac:dyDescent="0.25">
      <c r="A91" s="56">
        <v>68</v>
      </c>
      <c r="B91" s="7" t="s">
        <v>149</v>
      </c>
      <c r="C91" s="61">
        <v>0.75</v>
      </c>
      <c r="D91" s="57" t="s">
        <v>123</v>
      </c>
      <c r="E91" s="85" t="s">
        <v>125</v>
      </c>
      <c r="F91" s="99">
        <v>3</v>
      </c>
      <c r="G91" s="11" t="s">
        <v>34</v>
      </c>
      <c r="H91" s="99">
        <v>0</v>
      </c>
      <c r="I91" s="86" t="s">
        <v>126</v>
      </c>
      <c r="J91" s="64" t="s">
        <v>86</v>
      </c>
    </row>
    <row r="92" spans="1:10" ht="19.5" customHeight="1" x14ac:dyDescent="0.25">
      <c r="A92" s="52">
        <v>69</v>
      </c>
      <c r="B92" s="7" t="s">
        <v>149</v>
      </c>
      <c r="C92" s="61">
        <v>0.85416666666666663</v>
      </c>
      <c r="D92" s="53" t="s">
        <v>120</v>
      </c>
      <c r="E92" s="83" t="s">
        <v>129</v>
      </c>
      <c r="F92" s="98">
        <v>0</v>
      </c>
      <c r="G92" s="11" t="s">
        <v>34</v>
      </c>
      <c r="H92" s="98">
        <v>3</v>
      </c>
      <c r="I92" s="84" t="s">
        <v>121</v>
      </c>
      <c r="J92" s="64" t="s">
        <v>102</v>
      </c>
    </row>
    <row r="93" spans="1:10" ht="19.5" customHeight="1" x14ac:dyDescent="0.25">
      <c r="A93" s="52">
        <v>70</v>
      </c>
      <c r="B93" s="7" t="s">
        <v>149</v>
      </c>
      <c r="C93" s="61">
        <v>0.85416666666666663</v>
      </c>
      <c r="D93" s="53" t="s">
        <v>120</v>
      </c>
      <c r="E93" s="83" t="s">
        <v>122</v>
      </c>
      <c r="F93" s="98">
        <v>1</v>
      </c>
      <c r="G93" s="11" t="s">
        <v>34</v>
      </c>
      <c r="H93" s="98">
        <v>1</v>
      </c>
      <c r="I93" s="84" t="s">
        <v>128</v>
      </c>
      <c r="J93" s="64" t="s">
        <v>95</v>
      </c>
    </row>
    <row r="94" spans="1:10" ht="19.5" customHeight="1" x14ac:dyDescent="0.25">
      <c r="A94" s="48">
        <v>71</v>
      </c>
      <c r="B94" s="7" t="s">
        <v>149</v>
      </c>
      <c r="C94" s="61">
        <v>0.95833333333333337</v>
      </c>
      <c r="D94" s="49" t="s">
        <v>112</v>
      </c>
      <c r="E94" s="81" t="s">
        <v>114</v>
      </c>
      <c r="F94" s="97">
        <v>1</v>
      </c>
      <c r="G94" s="11" t="s">
        <v>34</v>
      </c>
      <c r="H94" s="97">
        <v>1</v>
      </c>
      <c r="I94" s="82" t="s">
        <v>118</v>
      </c>
      <c r="J94" s="64" t="s">
        <v>115</v>
      </c>
    </row>
    <row r="95" spans="1:10" ht="19.5" customHeight="1" x14ac:dyDescent="0.25">
      <c r="A95" s="48">
        <v>72</v>
      </c>
      <c r="B95" s="7" t="s">
        <v>149</v>
      </c>
      <c r="C95" s="61">
        <v>0.95833333333333337</v>
      </c>
      <c r="D95" s="49" t="s">
        <v>112</v>
      </c>
      <c r="E95" s="81" t="s">
        <v>119</v>
      </c>
      <c r="F95" s="97">
        <v>0</v>
      </c>
      <c r="G95" s="11" t="s">
        <v>34</v>
      </c>
      <c r="H95" s="97">
        <v>3</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11"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10"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D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J1000"/>
  <sheetViews>
    <sheetView topLeftCell="A84" zoomScaleNormal="100" workbookViewId="0">
      <selection activeCell="H102" sqref="H102"/>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12</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2</v>
      </c>
      <c r="G8" s="11" t="s">
        <v>34</v>
      </c>
      <c r="H8" s="88">
        <v>1</v>
      </c>
      <c r="I8" s="63" t="s">
        <v>44</v>
      </c>
      <c r="J8" s="64" t="s">
        <v>45</v>
      </c>
    </row>
    <row r="9" spans="1:10" ht="19.5" customHeight="1" x14ac:dyDescent="0.25">
      <c r="A9" s="6">
        <v>2</v>
      </c>
      <c r="B9" s="7" t="s">
        <v>41</v>
      </c>
      <c r="C9" s="61">
        <v>0.95833333333333337</v>
      </c>
      <c r="D9" s="8" t="s">
        <v>42</v>
      </c>
      <c r="E9" s="62" t="s">
        <v>46</v>
      </c>
      <c r="F9" s="88">
        <v>1</v>
      </c>
      <c r="G9" s="11" t="s">
        <v>34</v>
      </c>
      <c r="H9" s="88">
        <v>1</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2</v>
      </c>
      <c r="G11" s="11" t="s">
        <v>34</v>
      </c>
      <c r="H11" s="89">
        <v>0</v>
      </c>
      <c r="I11" s="66" t="s">
        <v>53</v>
      </c>
      <c r="J11" s="64" t="s">
        <v>54</v>
      </c>
    </row>
    <row r="12" spans="1:10" ht="19.5" customHeight="1" x14ac:dyDescent="0.25">
      <c r="A12" s="20">
        <v>4</v>
      </c>
      <c r="B12" s="7" t="s">
        <v>50</v>
      </c>
      <c r="C12" s="61">
        <v>0.66666666666666663</v>
      </c>
      <c r="D12" s="21" t="s">
        <v>55</v>
      </c>
      <c r="E12" s="67" t="s">
        <v>56</v>
      </c>
      <c r="F12" s="90">
        <v>0</v>
      </c>
      <c r="G12" s="11" t="s">
        <v>34</v>
      </c>
      <c r="H12" s="90">
        <v>1</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1</v>
      </c>
      <c r="G14" s="11" t="s">
        <v>34</v>
      </c>
      <c r="H14" s="91">
        <v>2</v>
      </c>
      <c r="I14" s="70" t="s">
        <v>63</v>
      </c>
      <c r="J14" s="64" t="s">
        <v>64</v>
      </c>
    </row>
    <row r="15" spans="1:10" ht="19.5" customHeight="1" x14ac:dyDescent="0.25">
      <c r="A15" s="24">
        <v>6</v>
      </c>
      <c r="B15" s="7" t="s">
        <v>60</v>
      </c>
      <c r="C15" s="61">
        <v>0.79166666666666663</v>
      </c>
      <c r="D15" s="25" t="s">
        <v>61</v>
      </c>
      <c r="E15" s="69" t="s">
        <v>65</v>
      </c>
      <c r="F15" s="91">
        <v>1</v>
      </c>
      <c r="G15" s="11" t="s">
        <v>34</v>
      </c>
      <c r="H15" s="91">
        <v>1</v>
      </c>
      <c r="I15" s="70" t="s">
        <v>66</v>
      </c>
      <c r="J15" s="64" t="s">
        <v>67</v>
      </c>
    </row>
    <row r="16" spans="1:10" ht="19.5" customHeight="1" x14ac:dyDescent="0.25">
      <c r="A16" s="16">
        <v>7</v>
      </c>
      <c r="B16" s="7" t="s">
        <v>60</v>
      </c>
      <c r="C16" s="61">
        <v>0.66666666666666663</v>
      </c>
      <c r="D16" s="17" t="s">
        <v>51</v>
      </c>
      <c r="E16" s="65" t="s">
        <v>68</v>
      </c>
      <c r="F16" s="89">
        <v>1</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0</v>
      </c>
      <c r="G18" s="11" t="s">
        <v>34</v>
      </c>
      <c r="H18" s="90">
        <v>0</v>
      </c>
      <c r="I18" s="68" t="s">
        <v>74</v>
      </c>
      <c r="J18" s="64" t="s">
        <v>75</v>
      </c>
    </row>
    <row r="19" spans="1:10" ht="19.5" customHeight="1" x14ac:dyDescent="0.25">
      <c r="A19" s="28">
        <v>9</v>
      </c>
      <c r="B19" s="7" t="s">
        <v>72</v>
      </c>
      <c r="C19" s="61">
        <v>0.58333333333333337</v>
      </c>
      <c r="D19" s="29" t="s">
        <v>76</v>
      </c>
      <c r="E19" s="71" t="s">
        <v>77</v>
      </c>
      <c r="F19" s="92">
        <v>3</v>
      </c>
      <c r="G19" s="11" t="s">
        <v>34</v>
      </c>
      <c r="H19" s="92">
        <v>0</v>
      </c>
      <c r="I19" s="72" t="s">
        <v>78</v>
      </c>
      <c r="J19" s="64" t="s">
        <v>79</v>
      </c>
    </row>
    <row r="20" spans="1:10" ht="19.5" customHeight="1" x14ac:dyDescent="0.25">
      <c r="A20" s="32">
        <v>10</v>
      </c>
      <c r="B20" s="7" t="s">
        <v>72</v>
      </c>
      <c r="C20" s="61">
        <v>0.70833333333333337</v>
      </c>
      <c r="D20" s="33" t="s">
        <v>80</v>
      </c>
      <c r="E20" s="73" t="s">
        <v>81</v>
      </c>
      <c r="F20" s="93">
        <v>0</v>
      </c>
      <c r="G20" s="11" t="s">
        <v>34</v>
      </c>
      <c r="H20" s="93">
        <v>1</v>
      </c>
      <c r="I20" s="74" t="s">
        <v>82</v>
      </c>
      <c r="J20" s="64" t="s">
        <v>83</v>
      </c>
    </row>
    <row r="21" spans="1:10" ht="19.5" customHeight="1" x14ac:dyDescent="0.25">
      <c r="A21" s="28">
        <v>11</v>
      </c>
      <c r="B21" s="7" t="s">
        <v>72</v>
      </c>
      <c r="C21" s="61">
        <v>0.83333333333333337</v>
      </c>
      <c r="D21" s="29" t="s">
        <v>76</v>
      </c>
      <c r="E21" s="71" t="s">
        <v>84</v>
      </c>
      <c r="F21" s="92">
        <v>0</v>
      </c>
      <c r="G21" s="11" t="s">
        <v>34</v>
      </c>
      <c r="H21" s="92">
        <v>2</v>
      </c>
      <c r="I21" s="72" t="s">
        <v>85</v>
      </c>
      <c r="J21" s="64" t="s">
        <v>86</v>
      </c>
    </row>
    <row r="22" spans="1:10" ht="19.5" customHeight="1" x14ac:dyDescent="0.25">
      <c r="A22" s="32">
        <v>12</v>
      </c>
      <c r="B22" s="7" t="s">
        <v>72</v>
      </c>
      <c r="C22" s="61">
        <v>0.95833333333333337</v>
      </c>
      <c r="D22" s="33" t="s">
        <v>80</v>
      </c>
      <c r="E22" s="73" t="s">
        <v>87</v>
      </c>
      <c r="F22" s="93">
        <v>1</v>
      </c>
      <c r="G22" s="11" t="s">
        <v>34</v>
      </c>
      <c r="H22" s="93">
        <v>1</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3</v>
      </c>
      <c r="G24" s="11" t="s">
        <v>34</v>
      </c>
      <c r="H24" s="94">
        <v>0</v>
      </c>
      <c r="I24" s="76" t="s">
        <v>94</v>
      </c>
      <c r="J24" s="64" t="s">
        <v>95</v>
      </c>
    </row>
    <row r="25" spans="1:10" ht="19.5" customHeight="1" x14ac:dyDescent="0.25">
      <c r="A25" s="40">
        <v>14</v>
      </c>
      <c r="B25" s="7" t="s">
        <v>91</v>
      </c>
      <c r="C25" s="61">
        <v>0.66666666666666663</v>
      </c>
      <c r="D25" s="41" t="s">
        <v>96</v>
      </c>
      <c r="E25" s="77" t="s">
        <v>97</v>
      </c>
      <c r="F25" s="95">
        <v>1</v>
      </c>
      <c r="G25" s="11" t="s">
        <v>34</v>
      </c>
      <c r="H25" s="95">
        <v>0</v>
      </c>
      <c r="I25" s="78" t="s">
        <v>98</v>
      </c>
      <c r="J25" s="64" t="s">
        <v>99</v>
      </c>
    </row>
    <row r="26" spans="1:10" ht="19.5" customHeight="1" x14ac:dyDescent="0.25">
      <c r="A26" s="36">
        <v>15</v>
      </c>
      <c r="B26" s="7" t="s">
        <v>91</v>
      </c>
      <c r="C26" s="61">
        <v>0.79166666666666663</v>
      </c>
      <c r="D26" s="37" t="s">
        <v>92</v>
      </c>
      <c r="E26" s="75" t="s">
        <v>100</v>
      </c>
      <c r="F26" s="94">
        <v>1</v>
      </c>
      <c r="G26" s="11" t="s">
        <v>34</v>
      </c>
      <c r="H26" s="94">
        <v>2</v>
      </c>
      <c r="I26" s="76" t="s">
        <v>101</v>
      </c>
      <c r="J26" s="64" t="s">
        <v>102</v>
      </c>
    </row>
    <row r="27" spans="1:10" ht="19.5" customHeight="1" x14ac:dyDescent="0.25">
      <c r="A27" s="40">
        <v>16</v>
      </c>
      <c r="B27" s="7" t="s">
        <v>91</v>
      </c>
      <c r="C27" s="61">
        <v>0.91666666666666663</v>
      </c>
      <c r="D27" s="41" t="s">
        <v>96</v>
      </c>
      <c r="E27" s="77" t="s">
        <v>103</v>
      </c>
      <c r="F27" s="95">
        <v>2</v>
      </c>
      <c r="G27" s="11" t="s">
        <v>34</v>
      </c>
      <c r="H27" s="95">
        <v>1</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2</v>
      </c>
      <c r="G29" s="11" t="s">
        <v>34</v>
      </c>
      <c r="H29" s="96">
        <v>0</v>
      </c>
      <c r="I29" s="80" t="s">
        <v>109</v>
      </c>
      <c r="J29" s="64" t="s">
        <v>67</v>
      </c>
    </row>
    <row r="30" spans="1:10" ht="19.5" customHeight="1" x14ac:dyDescent="0.25">
      <c r="A30" s="44">
        <v>18</v>
      </c>
      <c r="B30" s="7" t="s">
        <v>106</v>
      </c>
      <c r="C30" s="61">
        <v>0.79166666666666663</v>
      </c>
      <c r="D30" s="45" t="s">
        <v>107</v>
      </c>
      <c r="E30" s="79" t="s">
        <v>110</v>
      </c>
      <c r="F30" s="96">
        <v>2</v>
      </c>
      <c r="G30" s="11" t="s">
        <v>34</v>
      </c>
      <c r="H30" s="96">
        <v>1</v>
      </c>
      <c r="I30" s="80" t="s">
        <v>111</v>
      </c>
      <c r="J30" s="64" t="s">
        <v>64</v>
      </c>
    </row>
    <row r="31" spans="1:10" ht="19.5" customHeight="1" x14ac:dyDescent="0.25">
      <c r="A31" s="48">
        <v>19</v>
      </c>
      <c r="B31" s="7" t="s">
        <v>106</v>
      </c>
      <c r="C31" s="61">
        <v>0.91666666666666663</v>
      </c>
      <c r="D31" s="49" t="s">
        <v>112</v>
      </c>
      <c r="E31" s="81" t="s">
        <v>113</v>
      </c>
      <c r="F31" s="97">
        <v>3</v>
      </c>
      <c r="G31" s="11" t="s">
        <v>34</v>
      </c>
      <c r="H31" s="97">
        <v>0</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2</v>
      </c>
      <c r="G33" s="11" t="s">
        <v>34</v>
      </c>
      <c r="H33" s="97">
        <v>1</v>
      </c>
      <c r="I33" s="82" t="s">
        <v>119</v>
      </c>
      <c r="J33" s="64" t="s">
        <v>70</v>
      </c>
    </row>
    <row r="34" spans="1:10" ht="19.5" customHeight="1" x14ac:dyDescent="0.25">
      <c r="A34" s="52">
        <v>21</v>
      </c>
      <c r="B34" s="7" t="s">
        <v>117</v>
      </c>
      <c r="C34" s="61">
        <v>0.58333333333333337</v>
      </c>
      <c r="D34" s="53" t="s">
        <v>120</v>
      </c>
      <c r="E34" s="83" t="s">
        <v>121</v>
      </c>
      <c r="F34" s="98">
        <v>2</v>
      </c>
      <c r="G34" s="11" t="s">
        <v>34</v>
      </c>
      <c r="H34" s="98">
        <v>0</v>
      </c>
      <c r="I34" s="84" t="s">
        <v>122</v>
      </c>
      <c r="J34" s="64" t="s">
        <v>79</v>
      </c>
    </row>
    <row r="35" spans="1:10" ht="19.5" customHeight="1" x14ac:dyDescent="0.25">
      <c r="A35" s="56">
        <v>22</v>
      </c>
      <c r="B35" s="7" t="s">
        <v>117</v>
      </c>
      <c r="C35" s="61">
        <v>0.70833333333333337</v>
      </c>
      <c r="D35" s="57" t="s">
        <v>123</v>
      </c>
      <c r="E35" s="85" t="s">
        <v>124</v>
      </c>
      <c r="F35" s="99">
        <v>2</v>
      </c>
      <c r="G35" s="11" t="s">
        <v>34</v>
      </c>
      <c r="H35" s="99">
        <v>2</v>
      </c>
      <c r="I35" s="86" t="s">
        <v>125</v>
      </c>
      <c r="J35" s="64" t="s">
        <v>83</v>
      </c>
    </row>
    <row r="36" spans="1:10" ht="19.5" customHeight="1" x14ac:dyDescent="0.25">
      <c r="A36" s="56">
        <v>23</v>
      </c>
      <c r="B36" s="7" t="s">
        <v>117</v>
      </c>
      <c r="C36" s="61">
        <v>0.83333333333333337</v>
      </c>
      <c r="D36" s="57" t="s">
        <v>123</v>
      </c>
      <c r="E36" s="85" t="s">
        <v>126</v>
      </c>
      <c r="F36" s="99">
        <v>0</v>
      </c>
      <c r="G36" s="11" t="s">
        <v>34</v>
      </c>
      <c r="H36" s="99">
        <v>0</v>
      </c>
      <c r="I36" s="86" t="s">
        <v>127</v>
      </c>
      <c r="J36" s="64" t="s">
        <v>54</v>
      </c>
    </row>
    <row r="37" spans="1:10" ht="19.5" customHeight="1" x14ac:dyDescent="0.25">
      <c r="A37" s="52">
        <v>24</v>
      </c>
      <c r="B37" s="7" t="s">
        <v>117</v>
      </c>
      <c r="C37" s="61">
        <v>0.95833333333333337</v>
      </c>
      <c r="D37" s="53" t="s">
        <v>120</v>
      </c>
      <c r="E37" s="83" t="s">
        <v>128</v>
      </c>
      <c r="F37" s="98">
        <v>0</v>
      </c>
      <c r="G37" s="11" t="s">
        <v>34</v>
      </c>
      <c r="H37" s="98">
        <v>2</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0</v>
      </c>
      <c r="G39" s="11" t="s">
        <v>34</v>
      </c>
      <c r="H39" s="88">
        <v>0</v>
      </c>
      <c r="I39" s="63" t="s">
        <v>44</v>
      </c>
      <c r="J39" s="64" t="s">
        <v>95</v>
      </c>
    </row>
    <row r="40" spans="1:10" ht="19.5" customHeight="1" x14ac:dyDescent="0.25">
      <c r="A40" s="16">
        <v>26</v>
      </c>
      <c r="B40" s="7" t="s">
        <v>131</v>
      </c>
      <c r="C40" s="61">
        <v>0.66666666666666663</v>
      </c>
      <c r="D40" s="17" t="s">
        <v>51</v>
      </c>
      <c r="E40" s="65" t="s">
        <v>69</v>
      </c>
      <c r="F40" s="89">
        <v>1</v>
      </c>
      <c r="G40" s="11" t="s">
        <v>34</v>
      </c>
      <c r="H40" s="89">
        <v>1</v>
      </c>
      <c r="I40" s="66" t="s">
        <v>53</v>
      </c>
      <c r="J40" s="64" t="s">
        <v>58</v>
      </c>
    </row>
    <row r="41" spans="1:10" ht="19.5" customHeight="1" x14ac:dyDescent="0.25">
      <c r="A41" s="16">
        <v>27</v>
      </c>
      <c r="B41" s="7" t="s">
        <v>131</v>
      </c>
      <c r="C41" s="61">
        <v>0.79166666666666663</v>
      </c>
      <c r="D41" s="17" t="s">
        <v>51</v>
      </c>
      <c r="E41" s="65" t="s">
        <v>52</v>
      </c>
      <c r="F41" s="89">
        <v>1</v>
      </c>
      <c r="G41" s="11" t="s">
        <v>34</v>
      </c>
      <c r="H41" s="89">
        <v>1</v>
      </c>
      <c r="I41" s="66" t="s">
        <v>68</v>
      </c>
      <c r="J41" s="64" t="s">
        <v>75</v>
      </c>
    </row>
    <row r="42" spans="1:10" ht="19.5" customHeight="1" x14ac:dyDescent="0.25">
      <c r="A42" s="6">
        <v>28</v>
      </c>
      <c r="B42" s="7" t="s">
        <v>131</v>
      </c>
      <c r="C42" s="61">
        <v>0.91666666666666663</v>
      </c>
      <c r="D42" s="8" t="s">
        <v>42</v>
      </c>
      <c r="E42" s="62" t="s">
        <v>43</v>
      </c>
      <c r="F42" s="88">
        <v>2</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2</v>
      </c>
      <c r="I44" s="68" t="s">
        <v>73</v>
      </c>
      <c r="J44" s="64" t="s">
        <v>99</v>
      </c>
    </row>
    <row r="45" spans="1:10" ht="19.5" customHeight="1" x14ac:dyDescent="0.25">
      <c r="A45" s="24">
        <v>30</v>
      </c>
      <c r="B45" s="7" t="s">
        <v>133</v>
      </c>
      <c r="C45" s="61">
        <v>0.79166666666666663</v>
      </c>
      <c r="D45" s="25" t="s">
        <v>61</v>
      </c>
      <c r="E45" s="69" t="s">
        <v>63</v>
      </c>
      <c r="F45" s="91">
        <v>2</v>
      </c>
      <c r="G45" s="11" t="s">
        <v>34</v>
      </c>
      <c r="H45" s="91">
        <v>0</v>
      </c>
      <c r="I45" s="70" t="s">
        <v>66</v>
      </c>
      <c r="J45" s="64" t="s">
        <v>64</v>
      </c>
    </row>
    <row r="46" spans="1:10" ht="19.5" customHeight="1" x14ac:dyDescent="0.25">
      <c r="A46" s="24">
        <v>31</v>
      </c>
      <c r="B46" s="7" t="s">
        <v>133</v>
      </c>
      <c r="C46" s="61">
        <v>0.89583333333333337</v>
      </c>
      <c r="D46" s="25" t="s">
        <v>61</v>
      </c>
      <c r="E46" s="69" t="s">
        <v>65</v>
      </c>
      <c r="F46" s="91">
        <v>2</v>
      </c>
      <c r="G46" s="11" t="s">
        <v>34</v>
      </c>
      <c r="H46" s="91">
        <v>0</v>
      </c>
      <c r="I46" s="70" t="s">
        <v>62</v>
      </c>
      <c r="J46" s="64" t="s">
        <v>86</v>
      </c>
    </row>
    <row r="47" spans="1:10" ht="19.5" customHeight="1" x14ac:dyDescent="0.25">
      <c r="A47" s="20">
        <v>32</v>
      </c>
      <c r="B47" s="7" t="s">
        <v>133</v>
      </c>
      <c r="C47" s="61">
        <v>0.99930555555555556</v>
      </c>
      <c r="D47" s="21" t="s">
        <v>55</v>
      </c>
      <c r="E47" s="67" t="s">
        <v>74</v>
      </c>
      <c r="F47" s="90">
        <v>0</v>
      </c>
      <c r="G47" s="11" t="s">
        <v>34</v>
      </c>
      <c r="H47" s="90">
        <v>1</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1</v>
      </c>
      <c r="G49" s="11" t="s">
        <v>34</v>
      </c>
      <c r="H49" s="93">
        <v>1</v>
      </c>
      <c r="I49" s="74" t="s">
        <v>87</v>
      </c>
      <c r="J49" s="64" t="s">
        <v>79</v>
      </c>
    </row>
    <row r="50" spans="1:10" ht="19.5" customHeight="1" x14ac:dyDescent="0.25">
      <c r="A50" s="28">
        <v>34</v>
      </c>
      <c r="B50" s="7" t="s">
        <v>135</v>
      </c>
      <c r="C50" s="61">
        <v>0.70833333333333337</v>
      </c>
      <c r="D50" s="29" t="s">
        <v>76</v>
      </c>
      <c r="E50" s="71" t="s">
        <v>77</v>
      </c>
      <c r="F50" s="92">
        <v>3</v>
      </c>
      <c r="G50" s="11" t="s">
        <v>34</v>
      </c>
      <c r="H50" s="92">
        <v>1</v>
      </c>
      <c r="I50" s="72" t="s">
        <v>84</v>
      </c>
      <c r="J50" s="64" t="s">
        <v>54</v>
      </c>
    </row>
    <row r="51" spans="1:10" ht="19.5" customHeight="1" x14ac:dyDescent="0.25">
      <c r="A51" s="28">
        <v>35</v>
      </c>
      <c r="B51" s="7" t="s">
        <v>135</v>
      </c>
      <c r="C51" s="61">
        <v>0.875</v>
      </c>
      <c r="D51" s="29" t="s">
        <v>76</v>
      </c>
      <c r="E51" s="71" t="s">
        <v>85</v>
      </c>
      <c r="F51" s="92">
        <v>1</v>
      </c>
      <c r="G51" s="11" t="s">
        <v>34</v>
      </c>
      <c r="H51" s="92">
        <v>0</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0</v>
      </c>
      <c r="G53" s="11" t="s">
        <v>34</v>
      </c>
      <c r="H53" s="93">
        <v>2</v>
      </c>
      <c r="I53" s="74" t="s">
        <v>82</v>
      </c>
      <c r="J53" s="64" t="s">
        <v>89</v>
      </c>
    </row>
    <row r="54" spans="1:10" ht="19.5" customHeight="1" x14ac:dyDescent="0.25">
      <c r="A54" s="36">
        <v>37</v>
      </c>
      <c r="B54" s="7" t="s">
        <v>137</v>
      </c>
      <c r="C54" s="61">
        <v>0.54166666666666663</v>
      </c>
      <c r="D54" s="37" t="s">
        <v>92</v>
      </c>
      <c r="E54" s="75" t="s">
        <v>93</v>
      </c>
      <c r="F54" s="94">
        <v>2</v>
      </c>
      <c r="G54" s="11" t="s">
        <v>34</v>
      </c>
      <c r="H54" s="94">
        <v>1</v>
      </c>
      <c r="I54" s="76" t="s">
        <v>100</v>
      </c>
      <c r="J54" s="64" t="s">
        <v>95</v>
      </c>
    </row>
    <row r="55" spans="1:10" ht="19.5" customHeight="1" x14ac:dyDescent="0.25">
      <c r="A55" s="40">
        <v>38</v>
      </c>
      <c r="B55" s="7" t="s">
        <v>137</v>
      </c>
      <c r="C55" s="61">
        <v>0.66666666666666663</v>
      </c>
      <c r="D55" s="41" t="s">
        <v>96</v>
      </c>
      <c r="E55" s="77" t="s">
        <v>97</v>
      </c>
      <c r="F55" s="95">
        <v>1</v>
      </c>
      <c r="G55" s="11" t="s">
        <v>34</v>
      </c>
      <c r="H55" s="95">
        <v>0</v>
      </c>
      <c r="I55" s="78" t="s">
        <v>103</v>
      </c>
      <c r="J55" s="64" t="s">
        <v>58</v>
      </c>
    </row>
    <row r="56" spans="1:10" ht="19.5" customHeight="1" x14ac:dyDescent="0.25">
      <c r="A56" s="36">
        <v>39</v>
      </c>
      <c r="B56" s="7" t="s">
        <v>137</v>
      </c>
      <c r="C56" s="61">
        <v>0.79166666666666663</v>
      </c>
      <c r="D56" s="37" t="s">
        <v>92</v>
      </c>
      <c r="E56" s="75" t="s">
        <v>101</v>
      </c>
      <c r="F56" s="94">
        <v>1</v>
      </c>
      <c r="G56" s="11" t="s">
        <v>34</v>
      </c>
      <c r="H56" s="94">
        <v>0</v>
      </c>
      <c r="I56" s="76" t="s">
        <v>94</v>
      </c>
      <c r="J56" s="64" t="s">
        <v>102</v>
      </c>
    </row>
    <row r="57" spans="1:10" ht="19.5" customHeight="1" x14ac:dyDescent="0.25">
      <c r="A57" s="40">
        <v>40</v>
      </c>
      <c r="B57" s="7" t="s">
        <v>137</v>
      </c>
      <c r="C57" s="61">
        <v>0.91666666666666663</v>
      </c>
      <c r="D57" s="41" t="s">
        <v>96</v>
      </c>
      <c r="E57" s="77" t="s">
        <v>104</v>
      </c>
      <c r="F57" s="95">
        <v>0</v>
      </c>
      <c r="G57" s="11" t="s">
        <v>34</v>
      </c>
      <c r="H57" s="95">
        <v>1</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2</v>
      </c>
      <c r="G59" s="11" t="s">
        <v>34</v>
      </c>
      <c r="H59" s="97">
        <v>0</v>
      </c>
      <c r="I59" s="82" t="s">
        <v>118</v>
      </c>
      <c r="J59" s="64" t="s">
        <v>83</v>
      </c>
    </row>
    <row r="60" spans="1:10" ht="19.5" customHeight="1" x14ac:dyDescent="0.25">
      <c r="A60" s="44">
        <v>42</v>
      </c>
      <c r="B60" s="7" t="s">
        <v>139</v>
      </c>
      <c r="C60" s="61">
        <v>0.75</v>
      </c>
      <c r="D60" s="45" t="s">
        <v>107</v>
      </c>
      <c r="E60" s="79" t="s">
        <v>108</v>
      </c>
      <c r="F60" s="96">
        <v>1</v>
      </c>
      <c r="G60" s="11" t="s">
        <v>34</v>
      </c>
      <c r="H60" s="96">
        <v>0</v>
      </c>
      <c r="I60" s="80" t="s">
        <v>110</v>
      </c>
      <c r="J60" s="64" t="s">
        <v>86</v>
      </c>
    </row>
    <row r="61" spans="1:10" ht="19.5" customHeight="1" x14ac:dyDescent="0.25">
      <c r="A61" s="44">
        <v>43</v>
      </c>
      <c r="B61" s="7" t="s">
        <v>139</v>
      </c>
      <c r="C61" s="61">
        <v>0.875</v>
      </c>
      <c r="D61" s="45" t="s">
        <v>107</v>
      </c>
      <c r="E61" s="79" t="s">
        <v>111</v>
      </c>
      <c r="F61" s="96">
        <v>1</v>
      </c>
      <c r="G61" s="11" t="s">
        <v>34</v>
      </c>
      <c r="H61" s="96">
        <v>0</v>
      </c>
      <c r="I61" s="80" t="s">
        <v>109</v>
      </c>
      <c r="J61" s="64" t="s">
        <v>67</v>
      </c>
    </row>
    <row r="62" spans="1:10" ht="19.5" customHeight="1" x14ac:dyDescent="0.25">
      <c r="A62" s="48">
        <v>44</v>
      </c>
      <c r="B62" s="7" t="s">
        <v>139</v>
      </c>
      <c r="C62" s="61">
        <v>0.99930555555555556</v>
      </c>
      <c r="D62" s="49" t="s">
        <v>112</v>
      </c>
      <c r="E62" s="81" t="s">
        <v>119</v>
      </c>
      <c r="F62" s="97">
        <v>0</v>
      </c>
      <c r="G62" s="11" t="s">
        <v>34</v>
      </c>
      <c r="H62" s="97">
        <v>0</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1</v>
      </c>
      <c r="G64" s="11" t="s">
        <v>34</v>
      </c>
      <c r="H64" s="98">
        <v>0</v>
      </c>
      <c r="I64" s="84" t="s">
        <v>128</v>
      </c>
      <c r="J64" s="64" t="s">
        <v>79</v>
      </c>
    </row>
    <row r="65" spans="1:10" ht="19.5" customHeight="1" x14ac:dyDescent="0.25">
      <c r="A65" s="56">
        <v>46</v>
      </c>
      <c r="B65" s="7" t="s">
        <v>141</v>
      </c>
      <c r="C65" s="61">
        <v>0.70833333333333337</v>
      </c>
      <c r="D65" s="57" t="s">
        <v>123</v>
      </c>
      <c r="E65" s="85" t="s">
        <v>124</v>
      </c>
      <c r="F65" s="99">
        <v>3</v>
      </c>
      <c r="G65" s="11" t="s">
        <v>34</v>
      </c>
      <c r="H65" s="99">
        <v>1</v>
      </c>
      <c r="I65" s="86" t="s">
        <v>126</v>
      </c>
      <c r="J65" s="64" t="s">
        <v>64</v>
      </c>
    </row>
    <row r="66" spans="1:10" ht="19.5" customHeight="1" x14ac:dyDescent="0.25">
      <c r="A66" s="56">
        <v>47</v>
      </c>
      <c r="B66" s="7" t="s">
        <v>141</v>
      </c>
      <c r="C66" s="61">
        <v>0.83333333333333337</v>
      </c>
      <c r="D66" s="57" t="s">
        <v>123</v>
      </c>
      <c r="E66" s="85" t="s">
        <v>127</v>
      </c>
      <c r="F66" s="99">
        <v>0</v>
      </c>
      <c r="G66" s="11" t="s">
        <v>34</v>
      </c>
      <c r="H66" s="99">
        <v>1</v>
      </c>
      <c r="I66" s="86" t="s">
        <v>125</v>
      </c>
      <c r="J66" s="64" t="s">
        <v>54</v>
      </c>
    </row>
    <row r="67" spans="1:10" ht="19.5" customHeight="1" x14ac:dyDescent="0.25">
      <c r="A67" s="52">
        <v>48</v>
      </c>
      <c r="B67" s="7" t="s">
        <v>141</v>
      </c>
      <c r="C67" s="61">
        <v>0.95833333333333337</v>
      </c>
      <c r="D67" s="53" t="s">
        <v>120</v>
      </c>
      <c r="E67" s="83" t="s">
        <v>129</v>
      </c>
      <c r="F67" s="98">
        <v>1</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0</v>
      </c>
      <c r="G69" s="11" t="s">
        <v>34</v>
      </c>
      <c r="H69" s="89">
        <v>1</v>
      </c>
      <c r="I69" s="66" t="s">
        <v>52</v>
      </c>
      <c r="J69" s="64" t="s">
        <v>75</v>
      </c>
    </row>
    <row r="70" spans="1:10" ht="19.5" customHeight="1" x14ac:dyDescent="0.25">
      <c r="A70" s="16">
        <v>50</v>
      </c>
      <c r="B70" s="7" t="s">
        <v>143</v>
      </c>
      <c r="C70" s="61">
        <v>0.66666666666666663</v>
      </c>
      <c r="D70" s="17" t="s">
        <v>51</v>
      </c>
      <c r="E70" s="65" t="s">
        <v>53</v>
      </c>
      <c r="F70" s="89">
        <v>0</v>
      </c>
      <c r="G70" s="11" t="s">
        <v>34</v>
      </c>
      <c r="H70" s="89">
        <v>1</v>
      </c>
      <c r="I70" s="66" t="s">
        <v>68</v>
      </c>
      <c r="J70" s="64" t="s">
        <v>99</v>
      </c>
    </row>
    <row r="71" spans="1:10" ht="19.5" customHeight="1" x14ac:dyDescent="0.25">
      <c r="A71" s="24">
        <v>51</v>
      </c>
      <c r="B71" s="7" t="s">
        <v>143</v>
      </c>
      <c r="C71" s="61">
        <v>0.79166666666666663</v>
      </c>
      <c r="D71" s="25" t="s">
        <v>61</v>
      </c>
      <c r="E71" s="69" t="s">
        <v>63</v>
      </c>
      <c r="F71" s="91">
        <v>2</v>
      </c>
      <c r="G71" s="11" t="s">
        <v>34</v>
      </c>
      <c r="H71" s="91">
        <v>1</v>
      </c>
      <c r="I71" s="70" t="s">
        <v>65</v>
      </c>
      <c r="J71" s="64" t="s">
        <v>102</v>
      </c>
    </row>
    <row r="72" spans="1:10" ht="19.5" customHeight="1" x14ac:dyDescent="0.25">
      <c r="A72" s="24">
        <v>52</v>
      </c>
      <c r="B72" s="7" t="s">
        <v>143</v>
      </c>
      <c r="C72" s="61">
        <v>0.79166666666666663</v>
      </c>
      <c r="D72" s="25" t="s">
        <v>61</v>
      </c>
      <c r="E72" s="69" t="s">
        <v>66</v>
      </c>
      <c r="F72" s="91">
        <v>1</v>
      </c>
      <c r="G72" s="11" t="s">
        <v>34</v>
      </c>
      <c r="H72" s="91">
        <v>0</v>
      </c>
      <c r="I72" s="70" t="s">
        <v>62</v>
      </c>
      <c r="J72" s="64" t="s">
        <v>95</v>
      </c>
    </row>
    <row r="73" spans="1:10" ht="19.5" customHeight="1" x14ac:dyDescent="0.25">
      <c r="A73" s="6">
        <v>53</v>
      </c>
      <c r="B73" s="7" t="s">
        <v>143</v>
      </c>
      <c r="C73" s="61">
        <v>0.91666666666666663</v>
      </c>
      <c r="D73" s="8" t="s">
        <v>42</v>
      </c>
      <c r="E73" s="62" t="s">
        <v>47</v>
      </c>
      <c r="F73" s="88">
        <v>1</v>
      </c>
      <c r="G73" s="11" t="s">
        <v>34</v>
      </c>
      <c r="H73" s="88">
        <v>2</v>
      </c>
      <c r="I73" s="63" t="s">
        <v>43</v>
      </c>
      <c r="J73" s="64" t="s">
        <v>45</v>
      </c>
    </row>
    <row r="74" spans="1:10" ht="19.5" customHeight="1" x14ac:dyDescent="0.25">
      <c r="A74" s="6">
        <v>54</v>
      </c>
      <c r="B74" s="7" t="s">
        <v>143</v>
      </c>
      <c r="C74" s="61">
        <v>0.91666666666666663</v>
      </c>
      <c r="D74" s="8" t="s">
        <v>42</v>
      </c>
      <c r="E74" s="62" t="s">
        <v>44</v>
      </c>
      <c r="F74" s="88">
        <v>0</v>
      </c>
      <c r="G74" s="11" t="s">
        <v>34</v>
      </c>
      <c r="H74" s="88">
        <v>1</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0</v>
      </c>
      <c r="G76" s="11" t="s">
        <v>34</v>
      </c>
      <c r="H76" s="92">
        <v>1</v>
      </c>
      <c r="I76" s="72" t="s">
        <v>84</v>
      </c>
      <c r="J76" s="64" t="s">
        <v>86</v>
      </c>
    </row>
    <row r="77" spans="1:10" ht="19.5" customHeight="1" x14ac:dyDescent="0.25">
      <c r="A77" s="28">
        <v>56</v>
      </c>
      <c r="B77" s="7" t="s">
        <v>145</v>
      </c>
      <c r="C77" s="61">
        <v>0.70833333333333337</v>
      </c>
      <c r="D77" s="29" t="s">
        <v>76</v>
      </c>
      <c r="E77" s="71" t="s">
        <v>85</v>
      </c>
      <c r="F77" s="92">
        <v>0</v>
      </c>
      <c r="G77" s="11" t="s">
        <v>34</v>
      </c>
      <c r="H77" s="92">
        <v>2</v>
      </c>
      <c r="I77" s="72" t="s">
        <v>77</v>
      </c>
      <c r="J77" s="64" t="s">
        <v>67</v>
      </c>
    </row>
    <row r="78" spans="1:10" ht="19.5" customHeight="1" x14ac:dyDescent="0.25">
      <c r="A78" s="32">
        <v>57</v>
      </c>
      <c r="B78" s="7" t="s">
        <v>145</v>
      </c>
      <c r="C78" s="61">
        <v>0.83333333333333337</v>
      </c>
      <c r="D78" s="33" t="s">
        <v>80</v>
      </c>
      <c r="E78" s="73" t="s">
        <v>82</v>
      </c>
      <c r="F78" s="93">
        <v>2</v>
      </c>
      <c r="G78" s="11" t="s">
        <v>34</v>
      </c>
      <c r="H78" s="93">
        <v>2</v>
      </c>
      <c r="I78" s="74" t="s">
        <v>87</v>
      </c>
      <c r="J78" s="64" t="s">
        <v>83</v>
      </c>
    </row>
    <row r="79" spans="1:10" ht="19.5" customHeight="1" x14ac:dyDescent="0.25">
      <c r="A79" s="32">
        <v>58</v>
      </c>
      <c r="B79" s="7" t="s">
        <v>145</v>
      </c>
      <c r="C79" s="61">
        <v>0.83333333333333337</v>
      </c>
      <c r="D79" s="33" t="s">
        <v>80</v>
      </c>
      <c r="E79" s="73" t="s">
        <v>88</v>
      </c>
      <c r="F79" s="93">
        <v>0</v>
      </c>
      <c r="G79" s="11" t="s">
        <v>34</v>
      </c>
      <c r="H79" s="93">
        <v>2</v>
      </c>
      <c r="I79" s="74" t="s">
        <v>81</v>
      </c>
      <c r="J79" s="64" t="s">
        <v>115</v>
      </c>
    </row>
    <row r="80" spans="1:10" ht="19.5" customHeight="1" x14ac:dyDescent="0.25">
      <c r="A80" s="20">
        <v>59</v>
      </c>
      <c r="B80" s="7" t="s">
        <v>145</v>
      </c>
      <c r="C80" s="61">
        <v>0.95833333333333337</v>
      </c>
      <c r="D80" s="21" t="s">
        <v>55</v>
      </c>
      <c r="E80" s="67" t="s">
        <v>74</v>
      </c>
      <c r="F80" s="90">
        <v>0</v>
      </c>
      <c r="G80" s="11" t="s">
        <v>34</v>
      </c>
      <c r="H80" s="90">
        <v>2</v>
      </c>
      <c r="I80" s="68" t="s">
        <v>56</v>
      </c>
      <c r="J80" s="64" t="s">
        <v>58</v>
      </c>
    </row>
    <row r="81" spans="1:10" ht="19.5" customHeight="1" x14ac:dyDescent="0.25">
      <c r="A81" s="20">
        <v>60</v>
      </c>
      <c r="B81" s="7" t="s">
        <v>145</v>
      </c>
      <c r="C81" s="61">
        <v>0.95833333333333337</v>
      </c>
      <c r="D81" s="21" t="s">
        <v>55</v>
      </c>
      <c r="E81" s="67" t="s">
        <v>57</v>
      </c>
      <c r="F81" s="90">
        <v>2</v>
      </c>
      <c r="G81" s="11" t="s">
        <v>34</v>
      </c>
      <c r="H81" s="90">
        <v>2</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v>2</v>
      </c>
      <c r="G83" s="11" t="s">
        <v>34</v>
      </c>
      <c r="H83" s="96">
        <v>2</v>
      </c>
      <c r="I83" s="80" t="s">
        <v>108</v>
      </c>
      <c r="J83" s="64" t="s">
        <v>64</v>
      </c>
    </row>
    <row r="84" spans="1:10" ht="19.5" customHeight="1" x14ac:dyDescent="0.25">
      <c r="A84" s="44">
        <v>62</v>
      </c>
      <c r="B84" s="7" t="s">
        <v>147</v>
      </c>
      <c r="C84" s="61">
        <v>0.66666666666666663</v>
      </c>
      <c r="D84" s="45" t="s">
        <v>107</v>
      </c>
      <c r="E84" s="79" t="s">
        <v>109</v>
      </c>
      <c r="F84" s="96">
        <v>0</v>
      </c>
      <c r="G84" s="11" t="s">
        <v>34</v>
      </c>
      <c r="H84" s="96">
        <v>1</v>
      </c>
      <c r="I84" s="80" t="s">
        <v>110</v>
      </c>
      <c r="J84" s="64" t="s">
        <v>54</v>
      </c>
    </row>
    <row r="85" spans="1:10" ht="19.5" customHeight="1" x14ac:dyDescent="0.25">
      <c r="A85" s="36">
        <v>63</v>
      </c>
      <c r="B85" s="7" t="s">
        <v>147</v>
      </c>
      <c r="C85" s="61">
        <v>0.875</v>
      </c>
      <c r="D85" s="37" t="s">
        <v>92</v>
      </c>
      <c r="E85" s="75" t="s">
        <v>94</v>
      </c>
      <c r="F85" s="94">
        <v>0</v>
      </c>
      <c r="G85" s="11" t="s">
        <v>34</v>
      </c>
      <c r="H85" s="94">
        <v>1</v>
      </c>
      <c r="I85" s="76" t="s">
        <v>100</v>
      </c>
      <c r="J85" s="64" t="s">
        <v>79</v>
      </c>
    </row>
    <row r="86" spans="1:10" ht="19.5" customHeight="1" x14ac:dyDescent="0.25">
      <c r="A86" s="36">
        <v>64</v>
      </c>
      <c r="B86" s="7" t="s">
        <v>147</v>
      </c>
      <c r="C86" s="61">
        <v>0.875</v>
      </c>
      <c r="D86" s="37" t="s">
        <v>92</v>
      </c>
      <c r="E86" s="75" t="s">
        <v>101</v>
      </c>
      <c r="F86" s="94">
        <v>1</v>
      </c>
      <c r="G86" s="11" t="s">
        <v>34</v>
      </c>
      <c r="H86" s="94">
        <v>1</v>
      </c>
      <c r="I86" s="76" t="s">
        <v>93</v>
      </c>
      <c r="J86" s="64" t="s">
        <v>48</v>
      </c>
    </row>
    <row r="87" spans="1:10" ht="19.5" customHeight="1" x14ac:dyDescent="0.25">
      <c r="A87" s="40">
        <v>65</v>
      </c>
      <c r="B87" s="7" t="s">
        <v>147</v>
      </c>
      <c r="C87" s="61">
        <v>0.99930555555555556</v>
      </c>
      <c r="D87" s="41" t="s">
        <v>96</v>
      </c>
      <c r="E87" s="77" t="s">
        <v>98</v>
      </c>
      <c r="F87" s="95">
        <v>0</v>
      </c>
      <c r="G87" s="11" t="s">
        <v>34</v>
      </c>
      <c r="H87" s="95">
        <v>0</v>
      </c>
      <c r="I87" s="78" t="s">
        <v>103</v>
      </c>
      <c r="J87" s="64" t="s">
        <v>99</v>
      </c>
    </row>
    <row r="88" spans="1:10" ht="19.5" customHeight="1" x14ac:dyDescent="0.25">
      <c r="A88" s="40">
        <v>66</v>
      </c>
      <c r="B88" s="7" t="s">
        <v>147</v>
      </c>
      <c r="C88" s="61">
        <v>0.99930555555555556</v>
      </c>
      <c r="D88" s="41" t="s">
        <v>96</v>
      </c>
      <c r="E88" s="77" t="s">
        <v>104</v>
      </c>
      <c r="F88" s="95">
        <v>1</v>
      </c>
      <c r="G88" s="11" t="s">
        <v>34</v>
      </c>
      <c r="H88" s="95">
        <v>0</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0</v>
      </c>
      <c r="G90" s="11" t="s">
        <v>34</v>
      </c>
      <c r="H90" s="99">
        <v>2</v>
      </c>
      <c r="I90" s="86" t="s">
        <v>124</v>
      </c>
      <c r="J90" s="64" t="s">
        <v>67</v>
      </c>
    </row>
    <row r="91" spans="1:10" ht="19.5" customHeight="1" x14ac:dyDescent="0.25">
      <c r="A91" s="56">
        <v>68</v>
      </c>
      <c r="B91" s="7" t="s">
        <v>149</v>
      </c>
      <c r="C91" s="61">
        <v>0.75</v>
      </c>
      <c r="D91" s="57" t="s">
        <v>123</v>
      </c>
      <c r="E91" s="85" t="s">
        <v>125</v>
      </c>
      <c r="F91" s="99">
        <v>1</v>
      </c>
      <c r="G91" s="11" t="s">
        <v>34</v>
      </c>
      <c r="H91" s="99">
        <v>0</v>
      </c>
      <c r="I91" s="86" t="s">
        <v>126</v>
      </c>
      <c r="J91" s="64" t="s">
        <v>86</v>
      </c>
    </row>
    <row r="92" spans="1:10" ht="19.5" customHeight="1" x14ac:dyDescent="0.25">
      <c r="A92" s="52">
        <v>69</v>
      </c>
      <c r="B92" s="7" t="s">
        <v>149</v>
      </c>
      <c r="C92" s="61">
        <v>0.85416666666666663</v>
      </c>
      <c r="D92" s="53" t="s">
        <v>120</v>
      </c>
      <c r="E92" s="83" t="s">
        <v>129</v>
      </c>
      <c r="F92" s="98">
        <v>2</v>
      </c>
      <c r="G92" s="11" t="s">
        <v>34</v>
      </c>
      <c r="H92" s="98">
        <v>1</v>
      </c>
      <c r="I92" s="84" t="s">
        <v>121</v>
      </c>
      <c r="J92" s="64" t="s">
        <v>102</v>
      </c>
    </row>
    <row r="93" spans="1:10" ht="19.5" customHeight="1" x14ac:dyDescent="0.25">
      <c r="A93" s="52">
        <v>70</v>
      </c>
      <c r="B93" s="7" t="s">
        <v>149</v>
      </c>
      <c r="C93" s="61">
        <v>0.85416666666666663</v>
      </c>
      <c r="D93" s="53" t="s">
        <v>120</v>
      </c>
      <c r="E93" s="83" t="s">
        <v>122</v>
      </c>
      <c r="F93" s="98">
        <v>0</v>
      </c>
      <c r="G93" s="11" t="s">
        <v>34</v>
      </c>
      <c r="H93" s="98">
        <v>0</v>
      </c>
      <c r="I93" s="84" t="s">
        <v>128</v>
      </c>
      <c r="J93" s="64" t="s">
        <v>95</v>
      </c>
    </row>
    <row r="94" spans="1:10" ht="19.5" customHeight="1" x14ac:dyDescent="0.25">
      <c r="A94" s="48">
        <v>71</v>
      </c>
      <c r="B94" s="7" t="s">
        <v>149</v>
      </c>
      <c r="C94" s="61">
        <v>0.95833333333333337</v>
      </c>
      <c r="D94" s="49" t="s">
        <v>112</v>
      </c>
      <c r="E94" s="81" t="s">
        <v>114</v>
      </c>
      <c r="F94" s="97">
        <v>0</v>
      </c>
      <c r="G94" s="11" t="s">
        <v>34</v>
      </c>
      <c r="H94" s="97">
        <v>0</v>
      </c>
      <c r="I94" s="82" t="s">
        <v>118</v>
      </c>
      <c r="J94" s="64" t="s">
        <v>115</v>
      </c>
    </row>
    <row r="95" spans="1:10" ht="19.5" customHeight="1" x14ac:dyDescent="0.25">
      <c r="A95" s="48">
        <v>72</v>
      </c>
      <c r="B95" s="7" t="s">
        <v>149</v>
      </c>
      <c r="C95" s="61">
        <v>0.95833333333333337</v>
      </c>
      <c r="D95" s="49" t="s">
        <v>112</v>
      </c>
      <c r="E95" s="81" t="s">
        <v>119</v>
      </c>
      <c r="F95" s="97">
        <v>0</v>
      </c>
      <c r="G95" s="11" t="s">
        <v>34</v>
      </c>
      <c r="H95" s="97">
        <v>3</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9"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8"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E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J1000"/>
  <sheetViews>
    <sheetView topLeftCell="A45" zoomScaleNormal="100" workbookViewId="0">
      <selection activeCell="H94" sqref="H94"/>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180</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v>1</v>
      </c>
      <c r="G8" s="11" t="s">
        <v>34</v>
      </c>
      <c r="H8" s="88">
        <v>0</v>
      </c>
      <c r="I8" s="63" t="s">
        <v>44</v>
      </c>
      <c r="J8" s="64" t="s">
        <v>45</v>
      </c>
    </row>
    <row r="9" spans="1:10" ht="19.5" customHeight="1" x14ac:dyDescent="0.25">
      <c r="A9" s="6">
        <v>2</v>
      </c>
      <c r="B9" s="7" t="s">
        <v>41</v>
      </c>
      <c r="C9" s="61">
        <v>0.95833333333333337</v>
      </c>
      <c r="D9" s="8" t="s">
        <v>42</v>
      </c>
      <c r="E9" s="62" t="s">
        <v>46</v>
      </c>
      <c r="F9" s="88">
        <v>1</v>
      </c>
      <c r="G9" s="11" t="s">
        <v>34</v>
      </c>
      <c r="H9" s="88">
        <v>1</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1</v>
      </c>
      <c r="G11" s="11" t="s">
        <v>34</v>
      </c>
      <c r="H11" s="89">
        <v>0</v>
      </c>
      <c r="I11" s="66" t="s">
        <v>53</v>
      </c>
      <c r="J11" s="64" t="s">
        <v>54</v>
      </c>
    </row>
    <row r="12" spans="1:10" ht="19.5" customHeight="1" x14ac:dyDescent="0.25">
      <c r="A12" s="20">
        <v>4</v>
      </c>
      <c r="B12" s="7" t="s">
        <v>50</v>
      </c>
      <c r="C12" s="61">
        <v>0.66666666666666663</v>
      </c>
      <c r="D12" s="21" t="s">
        <v>55</v>
      </c>
      <c r="E12" s="67" t="s">
        <v>56</v>
      </c>
      <c r="F12" s="90">
        <v>2</v>
      </c>
      <c r="G12" s="11" t="s">
        <v>34</v>
      </c>
      <c r="H12" s="90">
        <v>2</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0</v>
      </c>
      <c r="G14" s="11" t="s">
        <v>34</v>
      </c>
      <c r="H14" s="91">
        <v>2</v>
      </c>
      <c r="I14" s="70" t="s">
        <v>63</v>
      </c>
      <c r="J14" s="64" t="s">
        <v>64</v>
      </c>
    </row>
    <row r="15" spans="1:10" ht="19.5" customHeight="1" x14ac:dyDescent="0.25">
      <c r="A15" s="24">
        <v>6</v>
      </c>
      <c r="B15" s="7" t="s">
        <v>60</v>
      </c>
      <c r="C15" s="61">
        <v>0.79166666666666663</v>
      </c>
      <c r="D15" s="25" t="s">
        <v>61</v>
      </c>
      <c r="E15" s="69" t="s">
        <v>65</v>
      </c>
      <c r="F15" s="91">
        <v>3</v>
      </c>
      <c r="G15" s="11" t="s">
        <v>34</v>
      </c>
      <c r="H15" s="91">
        <v>2</v>
      </c>
      <c r="I15" s="70" t="s">
        <v>66</v>
      </c>
      <c r="J15" s="64" t="s">
        <v>67</v>
      </c>
    </row>
    <row r="16" spans="1:10" ht="19.5" customHeight="1" x14ac:dyDescent="0.25">
      <c r="A16" s="16">
        <v>7</v>
      </c>
      <c r="B16" s="7" t="s">
        <v>60</v>
      </c>
      <c r="C16" s="61">
        <v>0.66666666666666663</v>
      </c>
      <c r="D16" s="17" t="s">
        <v>51</v>
      </c>
      <c r="E16" s="65" t="s">
        <v>68</v>
      </c>
      <c r="F16" s="89">
        <v>1</v>
      </c>
      <c r="G16" s="11" t="s">
        <v>34</v>
      </c>
      <c r="H16" s="89">
        <v>3</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0</v>
      </c>
      <c r="G18" s="11" t="s">
        <v>34</v>
      </c>
      <c r="H18" s="90">
        <v>2</v>
      </c>
      <c r="I18" s="68" t="s">
        <v>74</v>
      </c>
      <c r="J18" s="64" t="s">
        <v>75</v>
      </c>
    </row>
    <row r="19" spans="1:10" ht="19.5" customHeight="1" x14ac:dyDescent="0.25">
      <c r="A19" s="28">
        <v>9</v>
      </c>
      <c r="B19" s="7" t="s">
        <v>72</v>
      </c>
      <c r="C19" s="61">
        <v>0.58333333333333337</v>
      </c>
      <c r="D19" s="29" t="s">
        <v>76</v>
      </c>
      <c r="E19" s="71" t="s">
        <v>77</v>
      </c>
      <c r="F19" s="92">
        <v>4</v>
      </c>
      <c r="G19" s="11" t="s">
        <v>34</v>
      </c>
      <c r="H19" s="92">
        <v>0</v>
      </c>
      <c r="I19" s="72" t="s">
        <v>78</v>
      </c>
      <c r="J19" s="64" t="s">
        <v>79</v>
      </c>
    </row>
    <row r="20" spans="1:10" ht="19.5" customHeight="1" x14ac:dyDescent="0.25">
      <c r="A20" s="32">
        <v>10</v>
      </c>
      <c r="B20" s="7" t="s">
        <v>72</v>
      </c>
      <c r="C20" s="61">
        <v>0.70833333333333337</v>
      </c>
      <c r="D20" s="33" t="s">
        <v>80</v>
      </c>
      <c r="E20" s="73" t="s">
        <v>81</v>
      </c>
      <c r="F20" s="93">
        <v>1</v>
      </c>
      <c r="G20" s="11" t="s">
        <v>34</v>
      </c>
      <c r="H20" s="93">
        <v>1</v>
      </c>
      <c r="I20" s="74" t="s">
        <v>82</v>
      </c>
      <c r="J20" s="64" t="s">
        <v>83</v>
      </c>
    </row>
    <row r="21" spans="1:10" ht="19.5" customHeight="1" x14ac:dyDescent="0.25">
      <c r="A21" s="28">
        <v>11</v>
      </c>
      <c r="B21" s="7" t="s">
        <v>72</v>
      </c>
      <c r="C21" s="61">
        <v>0.83333333333333337</v>
      </c>
      <c r="D21" s="29" t="s">
        <v>76</v>
      </c>
      <c r="E21" s="71" t="s">
        <v>84</v>
      </c>
      <c r="F21" s="92">
        <v>0</v>
      </c>
      <c r="G21" s="11" t="s">
        <v>34</v>
      </c>
      <c r="H21" s="92">
        <v>2</v>
      </c>
      <c r="I21" s="72" t="s">
        <v>85</v>
      </c>
      <c r="J21" s="64" t="s">
        <v>86</v>
      </c>
    </row>
    <row r="22" spans="1:10" ht="19.5" customHeight="1" x14ac:dyDescent="0.25">
      <c r="A22" s="32">
        <v>12</v>
      </c>
      <c r="B22" s="7" t="s">
        <v>72</v>
      </c>
      <c r="C22" s="61">
        <v>0.95833333333333337</v>
      </c>
      <c r="D22" s="33" t="s">
        <v>80</v>
      </c>
      <c r="E22" s="73" t="s">
        <v>87</v>
      </c>
      <c r="F22" s="93">
        <v>2</v>
      </c>
      <c r="G22" s="11" t="s">
        <v>34</v>
      </c>
      <c r="H22" s="93">
        <v>0</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4</v>
      </c>
      <c r="G24" s="11" t="s">
        <v>34</v>
      </c>
      <c r="H24" s="94">
        <v>0</v>
      </c>
      <c r="I24" s="76" t="s">
        <v>94</v>
      </c>
      <c r="J24" s="64" t="s">
        <v>95</v>
      </c>
    </row>
    <row r="25" spans="1:10" ht="19.5" customHeight="1" x14ac:dyDescent="0.25">
      <c r="A25" s="40">
        <v>14</v>
      </c>
      <c r="B25" s="7" t="s">
        <v>91</v>
      </c>
      <c r="C25" s="61">
        <v>0.66666666666666663</v>
      </c>
      <c r="D25" s="41" t="s">
        <v>96</v>
      </c>
      <c r="E25" s="77" t="s">
        <v>97</v>
      </c>
      <c r="F25" s="95">
        <v>2</v>
      </c>
      <c r="G25" s="11" t="s">
        <v>34</v>
      </c>
      <c r="H25" s="95">
        <v>1</v>
      </c>
      <c r="I25" s="78" t="s">
        <v>98</v>
      </c>
      <c r="J25" s="64" t="s">
        <v>99</v>
      </c>
    </row>
    <row r="26" spans="1:10" ht="19.5" customHeight="1" x14ac:dyDescent="0.25">
      <c r="A26" s="36">
        <v>15</v>
      </c>
      <c r="B26" s="7" t="s">
        <v>91</v>
      </c>
      <c r="C26" s="61">
        <v>0.79166666666666663</v>
      </c>
      <c r="D26" s="37" t="s">
        <v>92</v>
      </c>
      <c r="E26" s="75" t="s">
        <v>100</v>
      </c>
      <c r="F26" s="94">
        <v>1</v>
      </c>
      <c r="G26" s="11" t="s">
        <v>34</v>
      </c>
      <c r="H26" s="94">
        <v>2</v>
      </c>
      <c r="I26" s="76" t="s">
        <v>101</v>
      </c>
      <c r="J26" s="64" t="s">
        <v>102</v>
      </c>
    </row>
    <row r="27" spans="1:10" ht="19.5" customHeight="1" x14ac:dyDescent="0.25">
      <c r="A27" s="40">
        <v>16</v>
      </c>
      <c r="B27" s="7" t="s">
        <v>91</v>
      </c>
      <c r="C27" s="61">
        <v>0.91666666666666663</v>
      </c>
      <c r="D27" s="41" t="s">
        <v>96</v>
      </c>
      <c r="E27" s="77" t="s">
        <v>103</v>
      </c>
      <c r="F27" s="95">
        <v>1</v>
      </c>
      <c r="G27" s="11" t="s">
        <v>34</v>
      </c>
      <c r="H27" s="95">
        <v>1</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3</v>
      </c>
      <c r="G29" s="11" t="s">
        <v>34</v>
      </c>
      <c r="H29" s="96">
        <v>1</v>
      </c>
      <c r="I29" s="80" t="s">
        <v>109</v>
      </c>
      <c r="J29" s="64" t="s">
        <v>67</v>
      </c>
    </row>
    <row r="30" spans="1:10" ht="19.5" customHeight="1" x14ac:dyDescent="0.25">
      <c r="A30" s="44">
        <v>18</v>
      </c>
      <c r="B30" s="7" t="s">
        <v>106</v>
      </c>
      <c r="C30" s="61">
        <v>0.79166666666666663</v>
      </c>
      <c r="D30" s="45" t="s">
        <v>107</v>
      </c>
      <c r="E30" s="79" t="s">
        <v>110</v>
      </c>
      <c r="F30" s="96">
        <v>0</v>
      </c>
      <c r="G30" s="11" t="s">
        <v>34</v>
      </c>
      <c r="H30" s="96">
        <v>2</v>
      </c>
      <c r="I30" s="80" t="s">
        <v>111</v>
      </c>
      <c r="J30" s="64" t="s">
        <v>64</v>
      </c>
    </row>
    <row r="31" spans="1:10" ht="19.5" customHeight="1" x14ac:dyDescent="0.25">
      <c r="A31" s="48">
        <v>19</v>
      </c>
      <c r="B31" s="7" t="s">
        <v>106</v>
      </c>
      <c r="C31" s="61">
        <v>0.91666666666666663</v>
      </c>
      <c r="D31" s="49" t="s">
        <v>112</v>
      </c>
      <c r="E31" s="81" t="s">
        <v>113</v>
      </c>
      <c r="F31" s="97">
        <v>3</v>
      </c>
      <c r="G31" s="11" t="s">
        <v>34</v>
      </c>
      <c r="H31" s="97">
        <v>1</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2</v>
      </c>
      <c r="G33" s="11" t="s">
        <v>34</v>
      </c>
      <c r="H33" s="97">
        <v>0</v>
      </c>
      <c r="I33" s="82" t="s">
        <v>119</v>
      </c>
      <c r="J33" s="64" t="s">
        <v>70</v>
      </c>
    </row>
    <row r="34" spans="1:10" ht="19.5" customHeight="1" x14ac:dyDescent="0.25">
      <c r="A34" s="52">
        <v>21</v>
      </c>
      <c r="B34" s="7" t="s">
        <v>117</v>
      </c>
      <c r="C34" s="61">
        <v>0.58333333333333337</v>
      </c>
      <c r="D34" s="53" t="s">
        <v>120</v>
      </c>
      <c r="E34" s="83" t="s">
        <v>121</v>
      </c>
      <c r="F34" s="98">
        <v>3</v>
      </c>
      <c r="G34" s="11" t="s">
        <v>34</v>
      </c>
      <c r="H34" s="98">
        <v>1</v>
      </c>
      <c r="I34" s="84" t="s">
        <v>122</v>
      </c>
      <c r="J34" s="64" t="s">
        <v>79</v>
      </c>
    </row>
    <row r="35" spans="1:10" ht="19.5" customHeight="1" x14ac:dyDescent="0.25">
      <c r="A35" s="56">
        <v>22</v>
      </c>
      <c r="B35" s="7" t="s">
        <v>117</v>
      </c>
      <c r="C35" s="61">
        <v>0.70833333333333337</v>
      </c>
      <c r="D35" s="57" t="s">
        <v>123</v>
      </c>
      <c r="E35" s="85" t="s">
        <v>124</v>
      </c>
      <c r="F35" s="99">
        <v>2</v>
      </c>
      <c r="G35" s="11" t="s">
        <v>34</v>
      </c>
      <c r="H35" s="99">
        <v>1</v>
      </c>
      <c r="I35" s="86" t="s">
        <v>125</v>
      </c>
      <c r="J35" s="64" t="s">
        <v>83</v>
      </c>
    </row>
    <row r="36" spans="1:10" ht="19.5" customHeight="1" x14ac:dyDescent="0.25">
      <c r="A36" s="56">
        <v>23</v>
      </c>
      <c r="B36" s="7" t="s">
        <v>117</v>
      </c>
      <c r="C36" s="61">
        <v>0.83333333333333337</v>
      </c>
      <c r="D36" s="57" t="s">
        <v>123</v>
      </c>
      <c r="E36" s="85" t="s">
        <v>126</v>
      </c>
      <c r="F36" s="99">
        <v>2</v>
      </c>
      <c r="G36" s="11" t="s">
        <v>34</v>
      </c>
      <c r="H36" s="99">
        <v>0</v>
      </c>
      <c r="I36" s="86" t="s">
        <v>127</v>
      </c>
      <c r="J36" s="64" t="s">
        <v>54</v>
      </c>
    </row>
    <row r="37" spans="1:10" ht="19.5" customHeight="1" x14ac:dyDescent="0.25">
      <c r="A37" s="52">
        <v>24</v>
      </c>
      <c r="B37" s="7" t="s">
        <v>117</v>
      </c>
      <c r="C37" s="61">
        <v>0.95833333333333337</v>
      </c>
      <c r="D37" s="53" t="s">
        <v>120</v>
      </c>
      <c r="E37" s="83" t="s">
        <v>128</v>
      </c>
      <c r="F37" s="98">
        <v>0</v>
      </c>
      <c r="G37" s="11" t="s">
        <v>34</v>
      </c>
      <c r="H37" s="98">
        <v>3</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2</v>
      </c>
      <c r="G39" s="11" t="s">
        <v>34</v>
      </c>
      <c r="H39" s="88">
        <v>1</v>
      </c>
      <c r="I39" s="63" t="s">
        <v>44</v>
      </c>
      <c r="J39" s="64" t="s">
        <v>95</v>
      </c>
    </row>
    <row r="40" spans="1:10" ht="19.5" customHeight="1" x14ac:dyDescent="0.25">
      <c r="A40" s="16">
        <v>26</v>
      </c>
      <c r="B40" s="7" t="s">
        <v>131</v>
      </c>
      <c r="C40" s="61">
        <v>0.66666666666666663</v>
      </c>
      <c r="D40" s="17" t="s">
        <v>51</v>
      </c>
      <c r="E40" s="65" t="s">
        <v>69</v>
      </c>
      <c r="F40" s="89">
        <v>1</v>
      </c>
      <c r="G40" s="11" t="s">
        <v>34</v>
      </c>
      <c r="H40" s="89">
        <v>0</v>
      </c>
      <c r="I40" s="66" t="s">
        <v>53</v>
      </c>
      <c r="J40" s="64" t="s">
        <v>58</v>
      </c>
    </row>
    <row r="41" spans="1:10" ht="19.5" customHeight="1" x14ac:dyDescent="0.25">
      <c r="A41" s="16">
        <v>27</v>
      </c>
      <c r="B41" s="7" t="s">
        <v>131</v>
      </c>
      <c r="C41" s="61">
        <v>0.79166666666666663</v>
      </c>
      <c r="D41" s="17" t="s">
        <v>51</v>
      </c>
      <c r="E41" s="65" t="s">
        <v>52</v>
      </c>
      <c r="F41" s="89">
        <v>2</v>
      </c>
      <c r="G41" s="11" t="s">
        <v>34</v>
      </c>
      <c r="H41" s="89">
        <v>0</v>
      </c>
      <c r="I41" s="66" t="s">
        <v>68</v>
      </c>
      <c r="J41" s="64" t="s">
        <v>75</v>
      </c>
    </row>
    <row r="42" spans="1:10" ht="19.5" customHeight="1" x14ac:dyDescent="0.25">
      <c r="A42" s="6">
        <v>28</v>
      </c>
      <c r="B42" s="7" t="s">
        <v>131</v>
      </c>
      <c r="C42" s="61">
        <v>0.91666666666666663</v>
      </c>
      <c r="D42" s="8" t="s">
        <v>42</v>
      </c>
      <c r="E42" s="62" t="s">
        <v>43</v>
      </c>
      <c r="F42" s="88">
        <v>2</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3</v>
      </c>
      <c r="G44" s="11" t="s">
        <v>34</v>
      </c>
      <c r="H44" s="90">
        <v>1</v>
      </c>
      <c r="I44" s="68" t="s">
        <v>73</v>
      </c>
      <c r="J44" s="64" t="s">
        <v>99</v>
      </c>
    </row>
    <row r="45" spans="1:10" ht="19.5" customHeight="1" x14ac:dyDescent="0.25">
      <c r="A45" s="24">
        <v>30</v>
      </c>
      <c r="B45" s="7" t="s">
        <v>133</v>
      </c>
      <c r="C45" s="61">
        <v>0.79166666666666663</v>
      </c>
      <c r="D45" s="25" t="s">
        <v>61</v>
      </c>
      <c r="E45" s="69" t="s">
        <v>63</v>
      </c>
      <c r="F45" s="91">
        <v>1</v>
      </c>
      <c r="G45" s="11" t="s">
        <v>34</v>
      </c>
      <c r="H45" s="91">
        <v>2</v>
      </c>
      <c r="I45" s="70" t="s">
        <v>66</v>
      </c>
      <c r="J45" s="64" t="s">
        <v>64</v>
      </c>
    </row>
    <row r="46" spans="1:10" ht="19.5" customHeight="1" x14ac:dyDescent="0.25">
      <c r="A46" s="24">
        <v>31</v>
      </c>
      <c r="B46" s="7" t="s">
        <v>133</v>
      </c>
      <c r="C46" s="61">
        <v>0.89583333333333337</v>
      </c>
      <c r="D46" s="25" t="s">
        <v>61</v>
      </c>
      <c r="E46" s="69" t="s">
        <v>65</v>
      </c>
      <c r="F46" s="91">
        <v>4</v>
      </c>
      <c r="G46" s="11" t="s">
        <v>34</v>
      </c>
      <c r="H46" s="91">
        <v>0</v>
      </c>
      <c r="I46" s="70" t="s">
        <v>62</v>
      </c>
      <c r="J46" s="64" t="s">
        <v>86</v>
      </c>
    </row>
    <row r="47" spans="1:10" ht="19.5" customHeight="1" x14ac:dyDescent="0.25">
      <c r="A47" s="20">
        <v>32</v>
      </c>
      <c r="B47" s="7" t="s">
        <v>133</v>
      </c>
      <c r="C47" s="61">
        <v>0.99930555555555556</v>
      </c>
      <c r="D47" s="21" t="s">
        <v>55</v>
      </c>
      <c r="E47" s="67" t="s">
        <v>74</v>
      </c>
      <c r="F47" s="90">
        <v>2</v>
      </c>
      <c r="G47" s="11" t="s">
        <v>34</v>
      </c>
      <c r="H47" s="90">
        <v>1</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2</v>
      </c>
      <c r="G49" s="11" t="s">
        <v>34</v>
      </c>
      <c r="H49" s="93">
        <v>1</v>
      </c>
      <c r="I49" s="74" t="s">
        <v>87</v>
      </c>
      <c r="J49" s="64" t="s">
        <v>79</v>
      </c>
    </row>
    <row r="50" spans="1:10" ht="19.5" customHeight="1" x14ac:dyDescent="0.25">
      <c r="A50" s="28">
        <v>34</v>
      </c>
      <c r="B50" s="7" t="s">
        <v>135</v>
      </c>
      <c r="C50" s="61">
        <v>0.70833333333333337</v>
      </c>
      <c r="D50" s="29" t="s">
        <v>76</v>
      </c>
      <c r="E50" s="71" t="s">
        <v>77</v>
      </c>
      <c r="F50" s="92">
        <v>3</v>
      </c>
      <c r="G50" s="11" t="s">
        <v>34</v>
      </c>
      <c r="H50" s="92">
        <v>1</v>
      </c>
      <c r="I50" s="72" t="s">
        <v>84</v>
      </c>
      <c r="J50" s="64" t="s">
        <v>54</v>
      </c>
    </row>
    <row r="51" spans="1:10" ht="19.5" customHeight="1" x14ac:dyDescent="0.25">
      <c r="A51" s="28">
        <v>35</v>
      </c>
      <c r="B51" s="7" t="s">
        <v>135</v>
      </c>
      <c r="C51" s="61">
        <v>0.875</v>
      </c>
      <c r="D51" s="29" t="s">
        <v>76</v>
      </c>
      <c r="E51" s="71" t="s">
        <v>85</v>
      </c>
      <c r="F51" s="92">
        <v>3</v>
      </c>
      <c r="G51" s="11" t="s">
        <v>34</v>
      </c>
      <c r="H51" s="92">
        <v>0</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1</v>
      </c>
      <c r="G53" s="11" t="s">
        <v>34</v>
      </c>
      <c r="H53" s="93">
        <v>2</v>
      </c>
      <c r="I53" s="74" t="s">
        <v>82</v>
      </c>
      <c r="J53" s="64" t="s">
        <v>89</v>
      </c>
    </row>
    <row r="54" spans="1:10" ht="19.5" customHeight="1" x14ac:dyDescent="0.25">
      <c r="A54" s="36">
        <v>37</v>
      </c>
      <c r="B54" s="7" t="s">
        <v>137</v>
      </c>
      <c r="C54" s="61">
        <v>0.54166666666666663</v>
      </c>
      <c r="D54" s="37" t="s">
        <v>92</v>
      </c>
      <c r="E54" s="75" t="s">
        <v>93</v>
      </c>
      <c r="F54" s="94">
        <v>2</v>
      </c>
      <c r="G54" s="11" t="s">
        <v>34</v>
      </c>
      <c r="H54" s="94">
        <v>0</v>
      </c>
      <c r="I54" s="76" t="s">
        <v>100</v>
      </c>
      <c r="J54" s="64" t="s">
        <v>95</v>
      </c>
    </row>
    <row r="55" spans="1:10" ht="19.5" customHeight="1" x14ac:dyDescent="0.25">
      <c r="A55" s="40">
        <v>38</v>
      </c>
      <c r="B55" s="7" t="s">
        <v>137</v>
      </c>
      <c r="C55" s="61">
        <v>0.66666666666666663</v>
      </c>
      <c r="D55" s="41" t="s">
        <v>96</v>
      </c>
      <c r="E55" s="77" t="s">
        <v>97</v>
      </c>
      <c r="F55" s="95">
        <v>2</v>
      </c>
      <c r="G55" s="11" t="s">
        <v>34</v>
      </c>
      <c r="H55" s="95">
        <v>1</v>
      </c>
      <c r="I55" s="78" t="s">
        <v>103</v>
      </c>
      <c r="J55" s="64" t="s">
        <v>58</v>
      </c>
    </row>
    <row r="56" spans="1:10" ht="19.5" customHeight="1" x14ac:dyDescent="0.25">
      <c r="A56" s="36">
        <v>39</v>
      </c>
      <c r="B56" s="7" t="s">
        <v>137</v>
      </c>
      <c r="C56" s="61">
        <v>0.79166666666666663</v>
      </c>
      <c r="D56" s="37" t="s">
        <v>92</v>
      </c>
      <c r="E56" s="75" t="s">
        <v>101</v>
      </c>
      <c r="F56" s="94">
        <v>2</v>
      </c>
      <c r="G56" s="11" t="s">
        <v>34</v>
      </c>
      <c r="H56" s="94">
        <v>0</v>
      </c>
      <c r="I56" s="76" t="s">
        <v>94</v>
      </c>
      <c r="J56" s="64" t="s">
        <v>102</v>
      </c>
    </row>
    <row r="57" spans="1:10" ht="19.5" customHeight="1" x14ac:dyDescent="0.25">
      <c r="A57" s="40">
        <v>40</v>
      </c>
      <c r="B57" s="7" t="s">
        <v>137</v>
      </c>
      <c r="C57" s="61">
        <v>0.91666666666666663</v>
      </c>
      <c r="D57" s="41" t="s">
        <v>96</v>
      </c>
      <c r="E57" s="77" t="s">
        <v>104</v>
      </c>
      <c r="F57" s="95">
        <v>1</v>
      </c>
      <c r="G57" s="11" t="s">
        <v>34</v>
      </c>
      <c r="H57" s="95">
        <v>1</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3</v>
      </c>
      <c r="G59" s="11" t="s">
        <v>34</v>
      </c>
      <c r="H59" s="97">
        <v>1</v>
      </c>
      <c r="I59" s="82" t="s">
        <v>118</v>
      </c>
      <c r="J59" s="64" t="s">
        <v>83</v>
      </c>
    </row>
    <row r="60" spans="1:10" ht="19.5" customHeight="1" x14ac:dyDescent="0.25">
      <c r="A60" s="44">
        <v>42</v>
      </c>
      <c r="B60" s="7" t="s">
        <v>139</v>
      </c>
      <c r="C60" s="61">
        <v>0.75</v>
      </c>
      <c r="D60" s="45" t="s">
        <v>107</v>
      </c>
      <c r="E60" s="79" t="s">
        <v>108</v>
      </c>
      <c r="F60" s="96">
        <v>3</v>
      </c>
      <c r="G60" s="11" t="s">
        <v>34</v>
      </c>
      <c r="H60" s="96">
        <v>0</v>
      </c>
      <c r="I60" s="80" t="s">
        <v>110</v>
      </c>
      <c r="J60" s="64" t="s">
        <v>86</v>
      </c>
    </row>
    <row r="61" spans="1:10" ht="19.5" customHeight="1" x14ac:dyDescent="0.25">
      <c r="A61" s="44">
        <v>43</v>
      </c>
      <c r="B61" s="7" t="s">
        <v>139</v>
      </c>
      <c r="C61" s="61">
        <v>0.875</v>
      </c>
      <c r="D61" s="45" t="s">
        <v>107</v>
      </c>
      <c r="E61" s="79" t="s">
        <v>111</v>
      </c>
      <c r="F61" s="96">
        <v>1</v>
      </c>
      <c r="G61" s="11" t="s">
        <v>34</v>
      </c>
      <c r="H61" s="96">
        <v>1</v>
      </c>
      <c r="I61" s="80" t="s">
        <v>109</v>
      </c>
      <c r="J61" s="64" t="s">
        <v>67</v>
      </c>
    </row>
    <row r="62" spans="1:10" ht="19.5" customHeight="1" x14ac:dyDescent="0.25">
      <c r="A62" s="48">
        <v>44</v>
      </c>
      <c r="B62" s="7" t="s">
        <v>139</v>
      </c>
      <c r="C62" s="61">
        <v>0.99930555555555556</v>
      </c>
      <c r="D62" s="49" t="s">
        <v>112</v>
      </c>
      <c r="E62" s="81" t="s">
        <v>119</v>
      </c>
      <c r="F62" s="97">
        <v>0</v>
      </c>
      <c r="G62" s="11" t="s">
        <v>34</v>
      </c>
      <c r="H62" s="97">
        <v>2</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3</v>
      </c>
      <c r="G64" s="11" t="s">
        <v>34</v>
      </c>
      <c r="H64" s="98">
        <v>0</v>
      </c>
      <c r="I64" s="84" t="s">
        <v>128</v>
      </c>
      <c r="J64" s="64" t="s">
        <v>79</v>
      </c>
    </row>
    <row r="65" spans="1:10" ht="19.5" customHeight="1" x14ac:dyDescent="0.25">
      <c r="A65" s="56">
        <v>46</v>
      </c>
      <c r="B65" s="7" t="s">
        <v>141</v>
      </c>
      <c r="C65" s="61">
        <v>0.70833333333333337</v>
      </c>
      <c r="D65" s="57" t="s">
        <v>123</v>
      </c>
      <c r="E65" s="85" t="s">
        <v>124</v>
      </c>
      <c r="F65" s="99">
        <v>2</v>
      </c>
      <c r="G65" s="11" t="s">
        <v>34</v>
      </c>
      <c r="H65" s="99">
        <v>1</v>
      </c>
      <c r="I65" s="86" t="s">
        <v>126</v>
      </c>
      <c r="J65" s="64" t="s">
        <v>64</v>
      </c>
    </row>
    <row r="66" spans="1:10" ht="19.5" customHeight="1" x14ac:dyDescent="0.25">
      <c r="A66" s="56">
        <v>47</v>
      </c>
      <c r="B66" s="7" t="s">
        <v>141</v>
      </c>
      <c r="C66" s="61">
        <v>0.83333333333333337</v>
      </c>
      <c r="D66" s="57" t="s">
        <v>123</v>
      </c>
      <c r="E66" s="85" t="s">
        <v>127</v>
      </c>
      <c r="F66" s="99">
        <v>1</v>
      </c>
      <c r="G66" s="11" t="s">
        <v>34</v>
      </c>
      <c r="H66" s="99">
        <v>2</v>
      </c>
      <c r="I66" s="86" t="s">
        <v>125</v>
      </c>
      <c r="J66" s="64" t="s">
        <v>54</v>
      </c>
    </row>
    <row r="67" spans="1:10" ht="19.5" customHeight="1" x14ac:dyDescent="0.25">
      <c r="A67" s="52">
        <v>48</v>
      </c>
      <c r="B67" s="7" t="s">
        <v>141</v>
      </c>
      <c r="C67" s="61">
        <v>0.95833333333333337</v>
      </c>
      <c r="D67" s="53" t="s">
        <v>120</v>
      </c>
      <c r="E67" s="83" t="s">
        <v>129</v>
      </c>
      <c r="F67" s="98">
        <v>2</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1</v>
      </c>
      <c r="G69" s="11" t="s">
        <v>34</v>
      </c>
      <c r="H69" s="89">
        <v>1</v>
      </c>
      <c r="I69" s="66" t="s">
        <v>52</v>
      </c>
      <c r="J69" s="64" t="s">
        <v>75</v>
      </c>
    </row>
    <row r="70" spans="1:10" ht="19.5" customHeight="1" x14ac:dyDescent="0.25">
      <c r="A70" s="16">
        <v>50</v>
      </c>
      <c r="B70" s="7" t="s">
        <v>143</v>
      </c>
      <c r="C70" s="61">
        <v>0.66666666666666663</v>
      </c>
      <c r="D70" s="17" t="s">
        <v>51</v>
      </c>
      <c r="E70" s="65" t="s">
        <v>53</v>
      </c>
      <c r="F70" s="89">
        <v>2</v>
      </c>
      <c r="G70" s="11" t="s">
        <v>34</v>
      </c>
      <c r="H70" s="89">
        <v>0</v>
      </c>
      <c r="I70" s="66" t="s">
        <v>68</v>
      </c>
      <c r="J70" s="64" t="s">
        <v>99</v>
      </c>
    </row>
    <row r="71" spans="1:10" ht="19.5" customHeight="1" x14ac:dyDescent="0.25">
      <c r="A71" s="24">
        <v>51</v>
      </c>
      <c r="B71" s="7" t="s">
        <v>143</v>
      </c>
      <c r="C71" s="61">
        <v>0.79166666666666663</v>
      </c>
      <c r="D71" s="25" t="s">
        <v>61</v>
      </c>
      <c r="E71" s="69" t="s">
        <v>63</v>
      </c>
      <c r="F71" s="91">
        <v>0</v>
      </c>
      <c r="G71" s="11" t="s">
        <v>34</v>
      </c>
      <c r="H71" s="91">
        <v>3</v>
      </c>
      <c r="I71" s="70" t="s">
        <v>65</v>
      </c>
      <c r="J71" s="64" t="s">
        <v>102</v>
      </c>
    </row>
    <row r="72" spans="1:10" ht="19.5" customHeight="1" x14ac:dyDescent="0.25">
      <c r="A72" s="24">
        <v>52</v>
      </c>
      <c r="B72" s="7" t="s">
        <v>143</v>
      </c>
      <c r="C72" s="61">
        <v>0.79166666666666663</v>
      </c>
      <c r="D72" s="25" t="s">
        <v>61</v>
      </c>
      <c r="E72" s="69" t="s">
        <v>66</v>
      </c>
      <c r="F72" s="91">
        <v>2</v>
      </c>
      <c r="G72" s="11" t="s">
        <v>34</v>
      </c>
      <c r="H72" s="91">
        <v>0</v>
      </c>
      <c r="I72" s="70" t="s">
        <v>62</v>
      </c>
      <c r="J72" s="64" t="s">
        <v>95</v>
      </c>
    </row>
    <row r="73" spans="1:10" ht="19.5" customHeight="1" x14ac:dyDescent="0.25">
      <c r="A73" s="6">
        <v>53</v>
      </c>
      <c r="B73" s="7" t="s">
        <v>143</v>
      </c>
      <c r="C73" s="61">
        <v>0.91666666666666663</v>
      </c>
      <c r="D73" s="8" t="s">
        <v>42</v>
      </c>
      <c r="E73" s="62" t="s">
        <v>47</v>
      </c>
      <c r="F73" s="88">
        <v>1</v>
      </c>
      <c r="G73" s="11" t="s">
        <v>34</v>
      </c>
      <c r="H73" s="88">
        <v>2</v>
      </c>
      <c r="I73" s="63" t="s">
        <v>43</v>
      </c>
      <c r="J73" s="64" t="s">
        <v>45</v>
      </c>
    </row>
    <row r="74" spans="1:10" ht="19.5" customHeight="1" x14ac:dyDescent="0.25">
      <c r="A74" s="6">
        <v>54</v>
      </c>
      <c r="B74" s="7" t="s">
        <v>143</v>
      </c>
      <c r="C74" s="61">
        <v>0.91666666666666663</v>
      </c>
      <c r="D74" s="8" t="s">
        <v>42</v>
      </c>
      <c r="E74" s="62" t="s">
        <v>44</v>
      </c>
      <c r="F74" s="88">
        <v>1</v>
      </c>
      <c r="G74" s="11" t="s">
        <v>34</v>
      </c>
      <c r="H74" s="88">
        <v>2</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0</v>
      </c>
      <c r="G76" s="11" t="s">
        <v>34</v>
      </c>
      <c r="H76" s="92">
        <v>2</v>
      </c>
      <c r="I76" s="72" t="s">
        <v>84</v>
      </c>
      <c r="J76" s="64" t="s">
        <v>86</v>
      </c>
    </row>
    <row r="77" spans="1:10" ht="19.5" customHeight="1" x14ac:dyDescent="0.25">
      <c r="A77" s="28">
        <v>56</v>
      </c>
      <c r="B77" s="7" t="s">
        <v>145</v>
      </c>
      <c r="C77" s="61">
        <v>0.70833333333333337</v>
      </c>
      <c r="D77" s="29" t="s">
        <v>76</v>
      </c>
      <c r="E77" s="71" t="s">
        <v>85</v>
      </c>
      <c r="F77" s="92">
        <v>1</v>
      </c>
      <c r="G77" s="11" t="s">
        <v>34</v>
      </c>
      <c r="H77" s="92">
        <v>3</v>
      </c>
      <c r="I77" s="72" t="s">
        <v>77</v>
      </c>
      <c r="J77" s="64" t="s">
        <v>67</v>
      </c>
    </row>
    <row r="78" spans="1:10" ht="19.5" customHeight="1" x14ac:dyDescent="0.25">
      <c r="A78" s="32">
        <v>57</v>
      </c>
      <c r="B78" s="7" t="s">
        <v>145</v>
      </c>
      <c r="C78" s="61">
        <v>0.83333333333333337</v>
      </c>
      <c r="D78" s="33" t="s">
        <v>80</v>
      </c>
      <c r="E78" s="73" t="s">
        <v>82</v>
      </c>
      <c r="F78" s="93">
        <v>1</v>
      </c>
      <c r="G78" s="11" t="s">
        <v>34</v>
      </c>
      <c r="H78" s="93">
        <v>1</v>
      </c>
      <c r="I78" s="74" t="s">
        <v>87</v>
      </c>
      <c r="J78" s="64" t="s">
        <v>83</v>
      </c>
    </row>
    <row r="79" spans="1:10" ht="19.5" customHeight="1" x14ac:dyDescent="0.25">
      <c r="A79" s="32">
        <v>58</v>
      </c>
      <c r="B79" s="7" t="s">
        <v>145</v>
      </c>
      <c r="C79" s="61">
        <v>0.83333333333333337</v>
      </c>
      <c r="D79" s="33" t="s">
        <v>80</v>
      </c>
      <c r="E79" s="73" t="s">
        <v>88</v>
      </c>
      <c r="F79" s="93">
        <v>0</v>
      </c>
      <c r="G79" s="11" t="s">
        <v>34</v>
      </c>
      <c r="H79" s="93">
        <v>2</v>
      </c>
      <c r="I79" s="74" t="s">
        <v>81</v>
      </c>
      <c r="J79" s="64" t="s">
        <v>115</v>
      </c>
    </row>
    <row r="80" spans="1:10" ht="19.5" customHeight="1" x14ac:dyDescent="0.25">
      <c r="A80" s="20">
        <v>59</v>
      </c>
      <c r="B80" s="7" t="s">
        <v>145</v>
      </c>
      <c r="C80" s="61">
        <v>0.95833333333333337</v>
      </c>
      <c r="D80" s="21" t="s">
        <v>55</v>
      </c>
      <c r="E80" s="67" t="s">
        <v>74</v>
      </c>
      <c r="F80" s="90">
        <v>1</v>
      </c>
      <c r="G80" s="11" t="s">
        <v>34</v>
      </c>
      <c r="H80" s="90">
        <v>2</v>
      </c>
      <c r="I80" s="68" t="s">
        <v>56</v>
      </c>
      <c r="J80" s="64" t="s">
        <v>58</v>
      </c>
    </row>
    <row r="81" spans="1:10" ht="19.5" customHeight="1" x14ac:dyDescent="0.25">
      <c r="A81" s="20">
        <v>60</v>
      </c>
      <c r="B81" s="7" t="s">
        <v>145</v>
      </c>
      <c r="C81" s="61">
        <v>0.95833333333333337</v>
      </c>
      <c r="D81" s="21" t="s">
        <v>55</v>
      </c>
      <c r="E81" s="67" t="s">
        <v>57</v>
      </c>
      <c r="F81" s="90">
        <v>1</v>
      </c>
      <c r="G81" s="11" t="s">
        <v>34</v>
      </c>
      <c r="H81" s="90">
        <v>1</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v>1</v>
      </c>
      <c r="G83" s="11" t="s">
        <v>34</v>
      </c>
      <c r="H83" s="96">
        <v>2</v>
      </c>
      <c r="I83" s="80" t="s">
        <v>108</v>
      </c>
      <c r="J83" s="64" t="s">
        <v>64</v>
      </c>
    </row>
    <row r="84" spans="1:10" ht="19.5" customHeight="1" x14ac:dyDescent="0.25">
      <c r="A84" s="44">
        <v>62</v>
      </c>
      <c r="B84" s="7" t="s">
        <v>147</v>
      </c>
      <c r="C84" s="61">
        <v>0.66666666666666663</v>
      </c>
      <c r="D84" s="45" t="s">
        <v>107</v>
      </c>
      <c r="E84" s="79" t="s">
        <v>109</v>
      </c>
      <c r="F84" s="96">
        <v>2</v>
      </c>
      <c r="G84" s="11" t="s">
        <v>34</v>
      </c>
      <c r="H84" s="96">
        <v>0</v>
      </c>
      <c r="I84" s="80" t="s">
        <v>110</v>
      </c>
      <c r="J84" s="64" t="s">
        <v>54</v>
      </c>
    </row>
    <row r="85" spans="1:10" ht="19.5" customHeight="1" x14ac:dyDescent="0.25">
      <c r="A85" s="36">
        <v>63</v>
      </c>
      <c r="B85" s="7" t="s">
        <v>147</v>
      </c>
      <c r="C85" s="61">
        <v>0.875</v>
      </c>
      <c r="D85" s="37" t="s">
        <v>92</v>
      </c>
      <c r="E85" s="75" t="s">
        <v>94</v>
      </c>
      <c r="F85" s="94">
        <v>1</v>
      </c>
      <c r="G85" s="11" t="s">
        <v>34</v>
      </c>
      <c r="H85" s="94">
        <v>1</v>
      </c>
      <c r="I85" s="76" t="s">
        <v>100</v>
      </c>
      <c r="J85" s="64" t="s">
        <v>79</v>
      </c>
    </row>
    <row r="86" spans="1:10" ht="19.5" customHeight="1" x14ac:dyDescent="0.25">
      <c r="A86" s="36">
        <v>64</v>
      </c>
      <c r="B86" s="7" t="s">
        <v>147</v>
      </c>
      <c r="C86" s="61">
        <v>0.875</v>
      </c>
      <c r="D86" s="37" t="s">
        <v>92</v>
      </c>
      <c r="E86" s="75" t="s">
        <v>101</v>
      </c>
      <c r="F86" s="94">
        <v>1</v>
      </c>
      <c r="G86" s="11" t="s">
        <v>34</v>
      </c>
      <c r="H86" s="94">
        <v>1</v>
      </c>
      <c r="I86" s="76" t="s">
        <v>93</v>
      </c>
      <c r="J86" s="64" t="s">
        <v>48</v>
      </c>
    </row>
    <row r="87" spans="1:10" ht="19.5" customHeight="1" x14ac:dyDescent="0.25">
      <c r="A87" s="40">
        <v>65</v>
      </c>
      <c r="B87" s="7" t="s">
        <v>147</v>
      </c>
      <c r="C87" s="61">
        <v>0.99930555555555556</v>
      </c>
      <c r="D87" s="41" t="s">
        <v>96</v>
      </c>
      <c r="E87" s="77" t="s">
        <v>98</v>
      </c>
      <c r="F87" s="95">
        <v>1</v>
      </c>
      <c r="G87" s="11" t="s">
        <v>34</v>
      </c>
      <c r="H87" s="95">
        <v>0</v>
      </c>
      <c r="I87" s="78" t="s">
        <v>103</v>
      </c>
      <c r="J87" s="64" t="s">
        <v>99</v>
      </c>
    </row>
    <row r="88" spans="1:10" ht="19.5" customHeight="1" x14ac:dyDescent="0.25">
      <c r="A88" s="40">
        <v>66</v>
      </c>
      <c r="B88" s="7" t="s">
        <v>147</v>
      </c>
      <c r="C88" s="61">
        <v>0.99930555555555556</v>
      </c>
      <c r="D88" s="41" t="s">
        <v>96</v>
      </c>
      <c r="E88" s="77" t="s">
        <v>104</v>
      </c>
      <c r="F88" s="95">
        <v>0</v>
      </c>
      <c r="G88" s="11" t="s">
        <v>34</v>
      </c>
      <c r="H88" s="95">
        <v>2</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0</v>
      </c>
      <c r="G90" s="11" t="s">
        <v>34</v>
      </c>
      <c r="H90" s="99">
        <v>4</v>
      </c>
      <c r="I90" s="86" t="s">
        <v>124</v>
      </c>
      <c r="J90" s="64" t="s">
        <v>67</v>
      </c>
    </row>
    <row r="91" spans="1:10" ht="19.5" customHeight="1" x14ac:dyDescent="0.25">
      <c r="A91" s="56">
        <v>68</v>
      </c>
      <c r="B91" s="7" t="s">
        <v>149</v>
      </c>
      <c r="C91" s="61">
        <v>0.75</v>
      </c>
      <c r="D91" s="57" t="s">
        <v>123</v>
      </c>
      <c r="E91" s="85" t="s">
        <v>125</v>
      </c>
      <c r="F91" s="99">
        <v>2</v>
      </c>
      <c r="G91" s="11" t="s">
        <v>34</v>
      </c>
      <c r="H91" s="99">
        <v>1</v>
      </c>
      <c r="I91" s="86" t="s">
        <v>126</v>
      </c>
      <c r="J91" s="64" t="s">
        <v>86</v>
      </c>
    </row>
    <row r="92" spans="1:10" ht="19.5" customHeight="1" x14ac:dyDescent="0.25">
      <c r="A92" s="52">
        <v>69</v>
      </c>
      <c r="B92" s="7" t="s">
        <v>149</v>
      </c>
      <c r="C92" s="61">
        <v>0.85416666666666663</v>
      </c>
      <c r="D92" s="53" t="s">
        <v>120</v>
      </c>
      <c r="E92" s="83" t="s">
        <v>129</v>
      </c>
      <c r="F92" s="98">
        <v>2</v>
      </c>
      <c r="G92" s="11" t="s">
        <v>34</v>
      </c>
      <c r="H92" s="98">
        <v>2</v>
      </c>
      <c r="I92" s="84" t="s">
        <v>121</v>
      </c>
      <c r="J92" s="64" t="s">
        <v>102</v>
      </c>
    </row>
    <row r="93" spans="1:10" ht="19.5" customHeight="1" x14ac:dyDescent="0.25">
      <c r="A93" s="52">
        <v>70</v>
      </c>
      <c r="B93" s="7" t="s">
        <v>149</v>
      </c>
      <c r="C93" s="61">
        <v>0.85416666666666663</v>
      </c>
      <c r="D93" s="53" t="s">
        <v>120</v>
      </c>
      <c r="E93" s="83" t="s">
        <v>122</v>
      </c>
      <c r="F93" s="98">
        <v>1</v>
      </c>
      <c r="G93" s="11" t="s">
        <v>34</v>
      </c>
      <c r="H93" s="98">
        <v>0</v>
      </c>
      <c r="I93" s="84" t="s">
        <v>128</v>
      </c>
      <c r="J93" s="64" t="s">
        <v>95</v>
      </c>
    </row>
    <row r="94" spans="1:10" ht="19.5" customHeight="1" x14ac:dyDescent="0.25">
      <c r="A94" s="48">
        <v>71</v>
      </c>
      <c r="B94" s="7" t="s">
        <v>149</v>
      </c>
      <c r="C94" s="61">
        <v>0.95833333333333337</v>
      </c>
      <c r="D94" s="49" t="s">
        <v>112</v>
      </c>
      <c r="E94" s="81" t="s">
        <v>114</v>
      </c>
      <c r="F94" s="97">
        <v>1</v>
      </c>
      <c r="G94" s="11" t="s">
        <v>34</v>
      </c>
      <c r="H94" s="97">
        <v>2</v>
      </c>
      <c r="I94" s="82" t="s">
        <v>118</v>
      </c>
      <c r="J94" s="64" t="s">
        <v>115</v>
      </c>
    </row>
    <row r="95" spans="1:10" ht="19.5" customHeight="1" x14ac:dyDescent="0.25">
      <c r="A95" s="48">
        <v>72</v>
      </c>
      <c r="B95" s="7" t="s">
        <v>149</v>
      </c>
      <c r="C95" s="61">
        <v>0.95833333333333337</v>
      </c>
      <c r="D95" s="49" t="s">
        <v>112</v>
      </c>
      <c r="E95" s="81" t="s">
        <v>119</v>
      </c>
      <c r="F95" s="97">
        <v>0</v>
      </c>
      <c r="G95" s="11" t="s">
        <v>34</v>
      </c>
      <c r="H95" s="97">
        <v>4</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7"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6"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0F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J1000"/>
  <sheetViews>
    <sheetView topLeftCell="A7" zoomScaleNormal="100" workbookViewId="0">
      <selection activeCell="E2" sqref="E2:J2"/>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24</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c r="G8" s="11" t="s">
        <v>34</v>
      </c>
      <c r="H8" s="88"/>
      <c r="I8" s="63" t="s">
        <v>44</v>
      </c>
      <c r="J8" s="64" t="s">
        <v>45</v>
      </c>
    </row>
    <row r="9" spans="1:10" ht="19.5" customHeight="1" x14ac:dyDescent="0.25">
      <c r="A9" s="6">
        <v>2</v>
      </c>
      <c r="B9" s="7" t="s">
        <v>41</v>
      </c>
      <c r="C9" s="61">
        <v>0.95833333333333337</v>
      </c>
      <c r="D9" s="8" t="s">
        <v>42</v>
      </c>
      <c r="E9" s="62" t="s">
        <v>46</v>
      </c>
      <c r="F9" s="88"/>
      <c r="G9" s="11" t="s">
        <v>34</v>
      </c>
      <c r="H9" s="88"/>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c r="G11" s="11" t="s">
        <v>34</v>
      </c>
      <c r="H11" s="89"/>
      <c r="I11" s="66" t="s">
        <v>53</v>
      </c>
      <c r="J11" s="64" t="s">
        <v>54</v>
      </c>
    </row>
    <row r="12" spans="1:10" ht="19.5" customHeight="1" x14ac:dyDescent="0.25">
      <c r="A12" s="20">
        <v>4</v>
      </c>
      <c r="B12" s="7" t="s">
        <v>50</v>
      </c>
      <c r="C12" s="61">
        <v>0.66666666666666663</v>
      </c>
      <c r="D12" s="21" t="s">
        <v>55</v>
      </c>
      <c r="E12" s="67" t="s">
        <v>56</v>
      </c>
      <c r="F12" s="90"/>
      <c r="G12" s="11" t="s">
        <v>34</v>
      </c>
      <c r="H12" s="90"/>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c r="G14" s="11" t="s">
        <v>34</v>
      </c>
      <c r="H14" s="91"/>
      <c r="I14" s="70" t="s">
        <v>63</v>
      </c>
      <c r="J14" s="64" t="s">
        <v>64</v>
      </c>
    </row>
    <row r="15" spans="1:10" ht="19.5" customHeight="1" x14ac:dyDescent="0.25">
      <c r="A15" s="24">
        <v>6</v>
      </c>
      <c r="B15" s="7" t="s">
        <v>60</v>
      </c>
      <c r="C15" s="61">
        <v>0.79166666666666663</v>
      </c>
      <c r="D15" s="25" t="s">
        <v>61</v>
      </c>
      <c r="E15" s="69" t="s">
        <v>65</v>
      </c>
      <c r="F15" s="91"/>
      <c r="G15" s="11" t="s">
        <v>34</v>
      </c>
      <c r="H15" s="91"/>
      <c r="I15" s="70" t="s">
        <v>66</v>
      </c>
      <c r="J15" s="64" t="s">
        <v>67</v>
      </c>
    </row>
    <row r="16" spans="1:10" ht="19.5" customHeight="1" x14ac:dyDescent="0.25">
      <c r="A16" s="16">
        <v>7</v>
      </c>
      <c r="B16" s="7" t="s">
        <v>60</v>
      </c>
      <c r="C16" s="61">
        <v>0.66666666666666663</v>
      </c>
      <c r="D16" s="17" t="s">
        <v>51</v>
      </c>
      <c r="E16" s="65" t="s">
        <v>68</v>
      </c>
      <c r="F16" s="89"/>
      <c r="G16" s="11" t="s">
        <v>34</v>
      </c>
      <c r="H16" s="89"/>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c r="G18" s="11" t="s">
        <v>34</v>
      </c>
      <c r="H18" s="90"/>
      <c r="I18" s="68" t="s">
        <v>74</v>
      </c>
      <c r="J18" s="64" t="s">
        <v>75</v>
      </c>
    </row>
    <row r="19" spans="1:10" ht="19.5" customHeight="1" x14ac:dyDescent="0.25">
      <c r="A19" s="28">
        <v>9</v>
      </c>
      <c r="B19" s="7" t="s">
        <v>72</v>
      </c>
      <c r="C19" s="61">
        <v>0.58333333333333337</v>
      </c>
      <c r="D19" s="29" t="s">
        <v>76</v>
      </c>
      <c r="E19" s="71" t="s">
        <v>77</v>
      </c>
      <c r="F19" s="92"/>
      <c r="G19" s="11" t="s">
        <v>34</v>
      </c>
      <c r="H19" s="92"/>
      <c r="I19" s="72" t="s">
        <v>78</v>
      </c>
      <c r="J19" s="64" t="s">
        <v>79</v>
      </c>
    </row>
    <row r="20" spans="1:10" ht="19.5" customHeight="1" x14ac:dyDescent="0.25">
      <c r="A20" s="32">
        <v>10</v>
      </c>
      <c r="B20" s="7" t="s">
        <v>72</v>
      </c>
      <c r="C20" s="61">
        <v>0.70833333333333337</v>
      </c>
      <c r="D20" s="33" t="s">
        <v>80</v>
      </c>
      <c r="E20" s="73" t="s">
        <v>81</v>
      </c>
      <c r="F20" s="93"/>
      <c r="G20" s="11" t="s">
        <v>34</v>
      </c>
      <c r="H20" s="93"/>
      <c r="I20" s="74" t="s">
        <v>82</v>
      </c>
      <c r="J20" s="64" t="s">
        <v>83</v>
      </c>
    </row>
    <row r="21" spans="1:10" ht="19.5" customHeight="1" x14ac:dyDescent="0.25">
      <c r="A21" s="28">
        <v>11</v>
      </c>
      <c r="B21" s="7" t="s">
        <v>72</v>
      </c>
      <c r="C21" s="61">
        <v>0.83333333333333337</v>
      </c>
      <c r="D21" s="29" t="s">
        <v>76</v>
      </c>
      <c r="E21" s="71" t="s">
        <v>84</v>
      </c>
      <c r="F21" s="92"/>
      <c r="G21" s="11" t="s">
        <v>34</v>
      </c>
      <c r="H21" s="92"/>
      <c r="I21" s="72" t="s">
        <v>85</v>
      </c>
      <c r="J21" s="64" t="s">
        <v>86</v>
      </c>
    </row>
    <row r="22" spans="1:10" ht="19.5" customHeight="1" x14ac:dyDescent="0.25">
      <c r="A22" s="32">
        <v>12</v>
      </c>
      <c r="B22" s="7" t="s">
        <v>72</v>
      </c>
      <c r="C22" s="61">
        <v>0.95833333333333337</v>
      </c>
      <c r="D22" s="33" t="s">
        <v>80</v>
      </c>
      <c r="E22" s="73" t="s">
        <v>87</v>
      </c>
      <c r="F22" s="93"/>
      <c r="G22" s="11" t="s">
        <v>34</v>
      </c>
      <c r="H22" s="93"/>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c r="G24" s="11" t="s">
        <v>34</v>
      </c>
      <c r="H24" s="94"/>
      <c r="I24" s="76" t="s">
        <v>94</v>
      </c>
      <c r="J24" s="64" t="s">
        <v>95</v>
      </c>
    </row>
    <row r="25" spans="1:10" ht="19.5" customHeight="1" x14ac:dyDescent="0.25">
      <c r="A25" s="40">
        <v>14</v>
      </c>
      <c r="B25" s="7" t="s">
        <v>91</v>
      </c>
      <c r="C25" s="61">
        <v>0.66666666666666663</v>
      </c>
      <c r="D25" s="41" t="s">
        <v>96</v>
      </c>
      <c r="E25" s="77" t="s">
        <v>97</v>
      </c>
      <c r="F25" s="95"/>
      <c r="G25" s="11" t="s">
        <v>34</v>
      </c>
      <c r="H25" s="95"/>
      <c r="I25" s="78" t="s">
        <v>98</v>
      </c>
      <c r="J25" s="64" t="s">
        <v>99</v>
      </c>
    </row>
    <row r="26" spans="1:10" ht="19.5" customHeight="1" x14ac:dyDescent="0.25">
      <c r="A26" s="36">
        <v>15</v>
      </c>
      <c r="B26" s="7" t="s">
        <v>91</v>
      </c>
      <c r="C26" s="61">
        <v>0.79166666666666663</v>
      </c>
      <c r="D26" s="37" t="s">
        <v>92</v>
      </c>
      <c r="E26" s="75" t="s">
        <v>100</v>
      </c>
      <c r="F26" s="94"/>
      <c r="G26" s="11" t="s">
        <v>34</v>
      </c>
      <c r="H26" s="94"/>
      <c r="I26" s="76" t="s">
        <v>101</v>
      </c>
      <c r="J26" s="64" t="s">
        <v>102</v>
      </c>
    </row>
    <row r="27" spans="1:10" ht="19.5" customHeight="1" x14ac:dyDescent="0.25">
      <c r="A27" s="40">
        <v>16</v>
      </c>
      <c r="B27" s="7" t="s">
        <v>91</v>
      </c>
      <c r="C27" s="61">
        <v>0.91666666666666663</v>
      </c>
      <c r="D27" s="41" t="s">
        <v>96</v>
      </c>
      <c r="E27" s="77" t="s">
        <v>103</v>
      </c>
      <c r="F27" s="95"/>
      <c r="G27" s="11" t="s">
        <v>34</v>
      </c>
      <c r="H27" s="95"/>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c r="G29" s="11" t="s">
        <v>34</v>
      </c>
      <c r="H29" s="96"/>
      <c r="I29" s="80" t="s">
        <v>109</v>
      </c>
      <c r="J29" s="64" t="s">
        <v>67</v>
      </c>
    </row>
    <row r="30" spans="1:10" ht="19.5" customHeight="1" x14ac:dyDescent="0.25">
      <c r="A30" s="44">
        <v>18</v>
      </c>
      <c r="B30" s="7" t="s">
        <v>106</v>
      </c>
      <c r="C30" s="61">
        <v>0.79166666666666663</v>
      </c>
      <c r="D30" s="45" t="s">
        <v>107</v>
      </c>
      <c r="E30" s="79" t="s">
        <v>110</v>
      </c>
      <c r="F30" s="96"/>
      <c r="G30" s="11" t="s">
        <v>34</v>
      </c>
      <c r="H30" s="96"/>
      <c r="I30" s="80" t="s">
        <v>111</v>
      </c>
      <c r="J30" s="64" t="s">
        <v>64</v>
      </c>
    </row>
    <row r="31" spans="1:10" ht="19.5" customHeight="1" x14ac:dyDescent="0.25">
      <c r="A31" s="48">
        <v>19</v>
      </c>
      <c r="B31" s="7" t="s">
        <v>106</v>
      </c>
      <c r="C31" s="61">
        <v>0.91666666666666663</v>
      </c>
      <c r="D31" s="49" t="s">
        <v>112</v>
      </c>
      <c r="E31" s="81" t="s">
        <v>113</v>
      </c>
      <c r="F31" s="97"/>
      <c r="G31" s="11" t="s">
        <v>34</v>
      </c>
      <c r="H31" s="97"/>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c r="G33" s="11" t="s">
        <v>34</v>
      </c>
      <c r="H33" s="97"/>
      <c r="I33" s="82" t="s">
        <v>119</v>
      </c>
      <c r="J33" s="64" t="s">
        <v>70</v>
      </c>
    </row>
    <row r="34" spans="1:10" ht="19.5" customHeight="1" x14ac:dyDescent="0.25">
      <c r="A34" s="52">
        <v>21</v>
      </c>
      <c r="B34" s="7" t="s">
        <v>117</v>
      </c>
      <c r="C34" s="61">
        <v>0.58333333333333337</v>
      </c>
      <c r="D34" s="53" t="s">
        <v>120</v>
      </c>
      <c r="E34" s="83" t="s">
        <v>121</v>
      </c>
      <c r="F34" s="98"/>
      <c r="G34" s="11" t="s">
        <v>34</v>
      </c>
      <c r="H34" s="98"/>
      <c r="I34" s="84" t="s">
        <v>122</v>
      </c>
      <c r="J34" s="64" t="s">
        <v>79</v>
      </c>
    </row>
    <row r="35" spans="1:10" ht="19.5" customHeight="1" x14ac:dyDescent="0.25">
      <c r="A35" s="56">
        <v>22</v>
      </c>
      <c r="B35" s="7" t="s">
        <v>117</v>
      </c>
      <c r="C35" s="61">
        <v>0.70833333333333337</v>
      </c>
      <c r="D35" s="57" t="s">
        <v>123</v>
      </c>
      <c r="E35" s="85" t="s">
        <v>124</v>
      </c>
      <c r="F35" s="99"/>
      <c r="G35" s="11" t="s">
        <v>34</v>
      </c>
      <c r="H35" s="99"/>
      <c r="I35" s="86" t="s">
        <v>125</v>
      </c>
      <c r="J35" s="64" t="s">
        <v>83</v>
      </c>
    </row>
    <row r="36" spans="1:10" ht="19.5" customHeight="1" x14ac:dyDescent="0.25">
      <c r="A36" s="56">
        <v>23</v>
      </c>
      <c r="B36" s="7" t="s">
        <v>117</v>
      </c>
      <c r="C36" s="61">
        <v>0.83333333333333337</v>
      </c>
      <c r="D36" s="57" t="s">
        <v>123</v>
      </c>
      <c r="E36" s="85" t="s">
        <v>126</v>
      </c>
      <c r="F36" s="99"/>
      <c r="G36" s="11" t="s">
        <v>34</v>
      </c>
      <c r="H36" s="99"/>
      <c r="I36" s="86" t="s">
        <v>127</v>
      </c>
      <c r="J36" s="64" t="s">
        <v>54</v>
      </c>
    </row>
    <row r="37" spans="1:10" ht="19.5" customHeight="1" x14ac:dyDescent="0.25">
      <c r="A37" s="52">
        <v>24</v>
      </c>
      <c r="B37" s="7" t="s">
        <v>117</v>
      </c>
      <c r="C37" s="61">
        <v>0.95833333333333337</v>
      </c>
      <c r="D37" s="53" t="s">
        <v>120</v>
      </c>
      <c r="E37" s="83" t="s">
        <v>128</v>
      </c>
      <c r="F37" s="98"/>
      <c r="G37" s="11" t="s">
        <v>34</v>
      </c>
      <c r="H37" s="98"/>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c r="G39" s="11" t="s">
        <v>34</v>
      </c>
      <c r="H39" s="88"/>
      <c r="I39" s="63" t="s">
        <v>44</v>
      </c>
      <c r="J39" s="64" t="s">
        <v>95</v>
      </c>
    </row>
    <row r="40" spans="1:10" ht="19.5" customHeight="1" x14ac:dyDescent="0.25">
      <c r="A40" s="16">
        <v>26</v>
      </c>
      <c r="B40" s="7" t="s">
        <v>131</v>
      </c>
      <c r="C40" s="61">
        <v>0.66666666666666663</v>
      </c>
      <c r="D40" s="17" t="s">
        <v>51</v>
      </c>
      <c r="E40" s="65" t="s">
        <v>69</v>
      </c>
      <c r="F40" s="89"/>
      <c r="G40" s="11" t="s">
        <v>34</v>
      </c>
      <c r="H40" s="89"/>
      <c r="I40" s="66" t="s">
        <v>53</v>
      </c>
      <c r="J40" s="64" t="s">
        <v>58</v>
      </c>
    </row>
    <row r="41" spans="1:10" ht="19.5" customHeight="1" x14ac:dyDescent="0.25">
      <c r="A41" s="16">
        <v>27</v>
      </c>
      <c r="B41" s="7" t="s">
        <v>131</v>
      </c>
      <c r="C41" s="61">
        <v>0.79166666666666663</v>
      </c>
      <c r="D41" s="17" t="s">
        <v>51</v>
      </c>
      <c r="E41" s="65" t="s">
        <v>52</v>
      </c>
      <c r="F41" s="89"/>
      <c r="G41" s="11" t="s">
        <v>34</v>
      </c>
      <c r="H41" s="89"/>
      <c r="I41" s="66" t="s">
        <v>68</v>
      </c>
      <c r="J41" s="64" t="s">
        <v>75</v>
      </c>
    </row>
    <row r="42" spans="1:10" ht="19.5" customHeight="1" x14ac:dyDescent="0.25">
      <c r="A42" s="6">
        <v>28</v>
      </c>
      <c r="B42" s="7" t="s">
        <v>131</v>
      </c>
      <c r="C42" s="61">
        <v>0.91666666666666663</v>
      </c>
      <c r="D42" s="8" t="s">
        <v>42</v>
      </c>
      <c r="E42" s="62" t="s">
        <v>43</v>
      </c>
      <c r="F42" s="88"/>
      <c r="G42" s="11" t="s">
        <v>34</v>
      </c>
      <c r="H42" s="88"/>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c r="G44" s="11" t="s">
        <v>34</v>
      </c>
      <c r="H44" s="90"/>
      <c r="I44" s="68" t="s">
        <v>73</v>
      </c>
      <c r="J44" s="64" t="s">
        <v>99</v>
      </c>
    </row>
    <row r="45" spans="1:10" ht="19.5" customHeight="1" x14ac:dyDescent="0.25">
      <c r="A45" s="24">
        <v>30</v>
      </c>
      <c r="B45" s="7" t="s">
        <v>133</v>
      </c>
      <c r="C45" s="61">
        <v>0.79166666666666663</v>
      </c>
      <c r="D45" s="25" t="s">
        <v>61</v>
      </c>
      <c r="E45" s="69" t="s">
        <v>63</v>
      </c>
      <c r="F45" s="91"/>
      <c r="G45" s="11" t="s">
        <v>34</v>
      </c>
      <c r="H45" s="91"/>
      <c r="I45" s="70" t="s">
        <v>66</v>
      </c>
      <c r="J45" s="64" t="s">
        <v>64</v>
      </c>
    </row>
    <row r="46" spans="1:10" ht="19.5" customHeight="1" x14ac:dyDescent="0.25">
      <c r="A46" s="24">
        <v>31</v>
      </c>
      <c r="B46" s="7" t="s">
        <v>133</v>
      </c>
      <c r="C46" s="61">
        <v>0.89583333333333337</v>
      </c>
      <c r="D46" s="25" t="s">
        <v>61</v>
      </c>
      <c r="E46" s="69" t="s">
        <v>65</v>
      </c>
      <c r="F46" s="91"/>
      <c r="G46" s="11" t="s">
        <v>34</v>
      </c>
      <c r="H46" s="91"/>
      <c r="I46" s="70" t="s">
        <v>62</v>
      </c>
      <c r="J46" s="64" t="s">
        <v>86</v>
      </c>
    </row>
    <row r="47" spans="1:10" ht="19.5" customHeight="1" x14ac:dyDescent="0.25">
      <c r="A47" s="20">
        <v>32</v>
      </c>
      <c r="B47" s="7" t="s">
        <v>133</v>
      </c>
      <c r="C47" s="61">
        <v>0.99930555555555556</v>
      </c>
      <c r="D47" s="21" t="s">
        <v>55</v>
      </c>
      <c r="E47" s="67" t="s">
        <v>74</v>
      </c>
      <c r="F47" s="90"/>
      <c r="G47" s="11" t="s">
        <v>34</v>
      </c>
      <c r="H47" s="90"/>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c r="G49" s="11" t="s">
        <v>34</v>
      </c>
      <c r="H49" s="93"/>
      <c r="I49" s="74" t="s">
        <v>87</v>
      </c>
      <c r="J49" s="64" t="s">
        <v>79</v>
      </c>
    </row>
    <row r="50" spans="1:10" ht="19.5" customHeight="1" x14ac:dyDescent="0.25">
      <c r="A50" s="28">
        <v>34</v>
      </c>
      <c r="B50" s="7" t="s">
        <v>135</v>
      </c>
      <c r="C50" s="61">
        <v>0.70833333333333337</v>
      </c>
      <c r="D50" s="29" t="s">
        <v>76</v>
      </c>
      <c r="E50" s="71" t="s">
        <v>77</v>
      </c>
      <c r="F50" s="92"/>
      <c r="G50" s="11" t="s">
        <v>34</v>
      </c>
      <c r="H50" s="92"/>
      <c r="I50" s="72" t="s">
        <v>84</v>
      </c>
      <c r="J50" s="64" t="s">
        <v>54</v>
      </c>
    </row>
    <row r="51" spans="1:10" ht="19.5" customHeight="1" x14ac:dyDescent="0.25">
      <c r="A51" s="28">
        <v>35</v>
      </c>
      <c r="B51" s="7" t="s">
        <v>135</v>
      </c>
      <c r="C51" s="61">
        <v>0.875</v>
      </c>
      <c r="D51" s="29" t="s">
        <v>76</v>
      </c>
      <c r="E51" s="71" t="s">
        <v>85</v>
      </c>
      <c r="F51" s="92"/>
      <c r="G51" s="11" t="s">
        <v>34</v>
      </c>
      <c r="H51" s="92"/>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c r="G53" s="11" t="s">
        <v>34</v>
      </c>
      <c r="H53" s="93"/>
      <c r="I53" s="74" t="s">
        <v>82</v>
      </c>
      <c r="J53" s="64" t="s">
        <v>89</v>
      </c>
    </row>
    <row r="54" spans="1:10" ht="19.5" customHeight="1" x14ac:dyDescent="0.25">
      <c r="A54" s="36">
        <v>37</v>
      </c>
      <c r="B54" s="7" t="s">
        <v>137</v>
      </c>
      <c r="C54" s="61">
        <v>0.54166666666666663</v>
      </c>
      <c r="D54" s="37" t="s">
        <v>92</v>
      </c>
      <c r="E54" s="75" t="s">
        <v>93</v>
      </c>
      <c r="F54" s="94"/>
      <c r="G54" s="11" t="s">
        <v>34</v>
      </c>
      <c r="H54" s="94"/>
      <c r="I54" s="76" t="s">
        <v>100</v>
      </c>
      <c r="J54" s="64" t="s">
        <v>95</v>
      </c>
    </row>
    <row r="55" spans="1:10" ht="19.5" customHeight="1" x14ac:dyDescent="0.25">
      <c r="A55" s="40">
        <v>38</v>
      </c>
      <c r="B55" s="7" t="s">
        <v>137</v>
      </c>
      <c r="C55" s="61">
        <v>0.66666666666666663</v>
      </c>
      <c r="D55" s="41" t="s">
        <v>96</v>
      </c>
      <c r="E55" s="77" t="s">
        <v>97</v>
      </c>
      <c r="F55" s="95"/>
      <c r="G55" s="11" t="s">
        <v>34</v>
      </c>
      <c r="H55" s="95"/>
      <c r="I55" s="78" t="s">
        <v>103</v>
      </c>
      <c r="J55" s="64" t="s">
        <v>58</v>
      </c>
    </row>
    <row r="56" spans="1:10" ht="19.5" customHeight="1" x14ac:dyDescent="0.25">
      <c r="A56" s="36">
        <v>39</v>
      </c>
      <c r="B56" s="7" t="s">
        <v>137</v>
      </c>
      <c r="C56" s="61">
        <v>0.79166666666666663</v>
      </c>
      <c r="D56" s="37" t="s">
        <v>92</v>
      </c>
      <c r="E56" s="75" t="s">
        <v>101</v>
      </c>
      <c r="F56" s="94"/>
      <c r="G56" s="11" t="s">
        <v>34</v>
      </c>
      <c r="H56" s="94"/>
      <c r="I56" s="76" t="s">
        <v>94</v>
      </c>
      <c r="J56" s="64" t="s">
        <v>102</v>
      </c>
    </row>
    <row r="57" spans="1:10" ht="19.5" customHeight="1" x14ac:dyDescent="0.25">
      <c r="A57" s="40">
        <v>40</v>
      </c>
      <c r="B57" s="7" t="s">
        <v>137</v>
      </c>
      <c r="C57" s="61">
        <v>0.91666666666666663</v>
      </c>
      <c r="D57" s="41" t="s">
        <v>96</v>
      </c>
      <c r="E57" s="77" t="s">
        <v>104</v>
      </c>
      <c r="F57" s="95"/>
      <c r="G57" s="11" t="s">
        <v>34</v>
      </c>
      <c r="H57" s="95"/>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c r="G59" s="11" t="s">
        <v>34</v>
      </c>
      <c r="H59" s="97"/>
      <c r="I59" s="82" t="s">
        <v>118</v>
      </c>
      <c r="J59" s="64" t="s">
        <v>83</v>
      </c>
    </row>
    <row r="60" spans="1:10" ht="19.5" customHeight="1" x14ac:dyDescent="0.25">
      <c r="A60" s="44">
        <v>42</v>
      </c>
      <c r="B60" s="7" t="s">
        <v>139</v>
      </c>
      <c r="C60" s="61">
        <v>0.75</v>
      </c>
      <c r="D60" s="45" t="s">
        <v>107</v>
      </c>
      <c r="E60" s="79" t="s">
        <v>108</v>
      </c>
      <c r="F60" s="96"/>
      <c r="G60" s="11" t="s">
        <v>34</v>
      </c>
      <c r="H60" s="96"/>
      <c r="I60" s="80" t="s">
        <v>110</v>
      </c>
      <c r="J60" s="64" t="s">
        <v>86</v>
      </c>
    </row>
    <row r="61" spans="1:10" ht="19.5" customHeight="1" x14ac:dyDescent="0.25">
      <c r="A61" s="44">
        <v>43</v>
      </c>
      <c r="B61" s="7" t="s">
        <v>139</v>
      </c>
      <c r="C61" s="61">
        <v>0.875</v>
      </c>
      <c r="D61" s="45" t="s">
        <v>107</v>
      </c>
      <c r="E61" s="79" t="s">
        <v>111</v>
      </c>
      <c r="F61" s="96"/>
      <c r="G61" s="11" t="s">
        <v>34</v>
      </c>
      <c r="H61" s="96"/>
      <c r="I61" s="80" t="s">
        <v>109</v>
      </c>
      <c r="J61" s="64" t="s">
        <v>67</v>
      </c>
    </row>
    <row r="62" spans="1:10" ht="19.5" customHeight="1" x14ac:dyDescent="0.25">
      <c r="A62" s="48">
        <v>44</v>
      </c>
      <c r="B62" s="7" t="s">
        <v>139</v>
      </c>
      <c r="C62" s="61">
        <v>0.99930555555555556</v>
      </c>
      <c r="D62" s="49" t="s">
        <v>112</v>
      </c>
      <c r="E62" s="81" t="s">
        <v>119</v>
      </c>
      <c r="F62" s="97"/>
      <c r="G62" s="11" t="s">
        <v>34</v>
      </c>
      <c r="H62" s="97"/>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c r="G64" s="11" t="s">
        <v>34</v>
      </c>
      <c r="H64" s="98"/>
      <c r="I64" s="84" t="s">
        <v>128</v>
      </c>
      <c r="J64" s="64" t="s">
        <v>79</v>
      </c>
    </row>
    <row r="65" spans="1:10" ht="19.5" customHeight="1" x14ac:dyDescent="0.25">
      <c r="A65" s="56">
        <v>46</v>
      </c>
      <c r="B65" s="7" t="s">
        <v>141</v>
      </c>
      <c r="C65" s="61">
        <v>0.70833333333333337</v>
      </c>
      <c r="D65" s="57" t="s">
        <v>123</v>
      </c>
      <c r="E65" s="85" t="s">
        <v>124</v>
      </c>
      <c r="F65" s="99"/>
      <c r="G65" s="11" t="s">
        <v>34</v>
      </c>
      <c r="H65" s="99"/>
      <c r="I65" s="86" t="s">
        <v>126</v>
      </c>
      <c r="J65" s="64" t="s">
        <v>64</v>
      </c>
    </row>
    <row r="66" spans="1:10" ht="19.5" customHeight="1" x14ac:dyDescent="0.25">
      <c r="A66" s="56">
        <v>47</v>
      </c>
      <c r="B66" s="7" t="s">
        <v>141</v>
      </c>
      <c r="C66" s="61">
        <v>0.83333333333333337</v>
      </c>
      <c r="D66" s="57" t="s">
        <v>123</v>
      </c>
      <c r="E66" s="85" t="s">
        <v>127</v>
      </c>
      <c r="F66" s="99"/>
      <c r="G66" s="11" t="s">
        <v>34</v>
      </c>
      <c r="H66" s="99"/>
      <c r="I66" s="86" t="s">
        <v>125</v>
      </c>
      <c r="J66" s="64" t="s">
        <v>54</v>
      </c>
    </row>
    <row r="67" spans="1:10" ht="19.5" customHeight="1" x14ac:dyDescent="0.25">
      <c r="A67" s="52">
        <v>48</v>
      </c>
      <c r="B67" s="7" t="s">
        <v>141</v>
      </c>
      <c r="C67" s="61">
        <v>0.95833333333333337</v>
      </c>
      <c r="D67" s="53" t="s">
        <v>120</v>
      </c>
      <c r="E67" s="83" t="s">
        <v>129</v>
      </c>
      <c r="F67" s="98"/>
      <c r="G67" s="11" t="s">
        <v>34</v>
      </c>
      <c r="H67" s="98"/>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c r="G69" s="11" t="s">
        <v>34</v>
      </c>
      <c r="H69" s="89"/>
      <c r="I69" s="66" t="s">
        <v>52</v>
      </c>
      <c r="J69" s="64" t="s">
        <v>75</v>
      </c>
    </row>
    <row r="70" spans="1:10" ht="19.5" customHeight="1" x14ac:dyDescent="0.25">
      <c r="A70" s="16">
        <v>50</v>
      </c>
      <c r="B70" s="7" t="s">
        <v>143</v>
      </c>
      <c r="C70" s="61">
        <v>0.66666666666666663</v>
      </c>
      <c r="D70" s="17" t="s">
        <v>51</v>
      </c>
      <c r="E70" s="65" t="s">
        <v>53</v>
      </c>
      <c r="F70" s="89"/>
      <c r="G70" s="11" t="s">
        <v>34</v>
      </c>
      <c r="H70" s="89"/>
      <c r="I70" s="66" t="s">
        <v>68</v>
      </c>
      <c r="J70" s="64" t="s">
        <v>99</v>
      </c>
    </row>
    <row r="71" spans="1:10" ht="19.5" customHeight="1" x14ac:dyDescent="0.25">
      <c r="A71" s="24">
        <v>51</v>
      </c>
      <c r="B71" s="7" t="s">
        <v>143</v>
      </c>
      <c r="C71" s="61">
        <v>0.79166666666666663</v>
      </c>
      <c r="D71" s="25" t="s">
        <v>61</v>
      </c>
      <c r="E71" s="69" t="s">
        <v>63</v>
      </c>
      <c r="F71" s="91"/>
      <c r="G71" s="11" t="s">
        <v>34</v>
      </c>
      <c r="H71" s="91"/>
      <c r="I71" s="70" t="s">
        <v>65</v>
      </c>
      <c r="J71" s="64" t="s">
        <v>102</v>
      </c>
    </row>
    <row r="72" spans="1:10" ht="19.5" customHeight="1" x14ac:dyDescent="0.25">
      <c r="A72" s="24">
        <v>52</v>
      </c>
      <c r="B72" s="7" t="s">
        <v>143</v>
      </c>
      <c r="C72" s="61">
        <v>0.79166666666666663</v>
      </c>
      <c r="D72" s="25" t="s">
        <v>61</v>
      </c>
      <c r="E72" s="69" t="s">
        <v>66</v>
      </c>
      <c r="F72" s="91"/>
      <c r="G72" s="11" t="s">
        <v>34</v>
      </c>
      <c r="H72" s="91"/>
      <c r="I72" s="70" t="s">
        <v>62</v>
      </c>
      <c r="J72" s="64" t="s">
        <v>95</v>
      </c>
    </row>
    <row r="73" spans="1:10" ht="19.5" customHeight="1" x14ac:dyDescent="0.25">
      <c r="A73" s="6">
        <v>53</v>
      </c>
      <c r="B73" s="7" t="s">
        <v>143</v>
      </c>
      <c r="C73" s="61">
        <v>0.91666666666666663</v>
      </c>
      <c r="D73" s="8" t="s">
        <v>42</v>
      </c>
      <c r="E73" s="62" t="s">
        <v>47</v>
      </c>
      <c r="F73" s="88"/>
      <c r="G73" s="11" t="s">
        <v>34</v>
      </c>
      <c r="H73" s="88"/>
      <c r="I73" s="63" t="s">
        <v>43</v>
      </c>
      <c r="J73" s="64" t="s">
        <v>45</v>
      </c>
    </row>
    <row r="74" spans="1:10" ht="19.5" customHeight="1" x14ac:dyDescent="0.25">
      <c r="A74" s="6">
        <v>54</v>
      </c>
      <c r="B74" s="7" t="s">
        <v>143</v>
      </c>
      <c r="C74" s="61">
        <v>0.91666666666666663</v>
      </c>
      <c r="D74" s="8" t="s">
        <v>42</v>
      </c>
      <c r="E74" s="62" t="s">
        <v>44</v>
      </c>
      <c r="F74" s="88"/>
      <c r="G74" s="11" t="s">
        <v>34</v>
      </c>
      <c r="H74" s="88"/>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c r="G76" s="11" t="s">
        <v>34</v>
      </c>
      <c r="H76" s="92"/>
      <c r="I76" s="72" t="s">
        <v>84</v>
      </c>
      <c r="J76" s="64" t="s">
        <v>86</v>
      </c>
    </row>
    <row r="77" spans="1:10" ht="19.5" customHeight="1" x14ac:dyDescent="0.25">
      <c r="A77" s="28">
        <v>56</v>
      </c>
      <c r="B77" s="7" t="s">
        <v>145</v>
      </c>
      <c r="C77" s="61">
        <v>0.70833333333333337</v>
      </c>
      <c r="D77" s="29" t="s">
        <v>76</v>
      </c>
      <c r="E77" s="71" t="s">
        <v>85</v>
      </c>
      <c r="F77" s="92"/>
      <c r="G77" s="11" t="s">
        <v>34</v>
      </c>
      <c r="H77" s="92"/>
      <c r="I77" s="72" t="s">
        <v>77</v>
      </c>
      <c r="J77" s="64" t="s">
        <v>67</v>
      </c>
    </row>
    <row r="78" spans="1:10" ht="19.5" customHeight="1" x14ac:dyDescent="0.25">
      <c r="A78" s="32">
        <v>57</v>
      </c>
      <c r="B78" s="7" t="s">
        <v>145</v>
      </c>
      <c r="C78" s="61">
        <v>0.83333333333333337</v>
      </c>
      <c r="D78" s="33" t="s">
        <v>80</v>
      </c>
      <c r="E78" s="73" t="s">
        <v>82</v>
      </c>
      <c r="F78" s="93"/>
      <c r="G78" s="11" t="s">
        <v>34</v>
      </c>
      <c r="H78" s="93"/>
      <c r="I78" s="74" t="s">
        <v>87</v>
      </c>
      <c r="J78" s="64" t="s">
        <v>83</v>
      </c>
    </row>
    <row r="79" spans="1:10" ht="19.5" customHeight="1" x14ac:dyDescent="0.25">
      <c r="A79" s="32">
        <v>58</v>
      </c>
      <c r="B79" s="7" t="s">
        <v>145</v>
      </c>
      <c r="C79" s="61">
        <v>0.83333333333333337</v>
      </c>
      <c r="D79" s="33" t="s">
        <v>80</v>
      </c>
      <c r="E79" s="73" t="s">
        <v>88</v>
      </c>
      <c r="F79" s="93"/>
      <c r="G79" s="11" t="s">
        <v>34</v>
      </c>
      <c r="H79" s="93"/>
      <c r="I79" s="74" t="s">
        <v>81</v>
      </c>
      <c r="J79" s="64" t="s">
        <v>115</v>
      </c>
    </row>
    <row r="80" spans="1:10" ht="19.5" customHeight="1" x14ac:dyDescent="0.25">
      <c r="A80" s="20">
        <v>59</v>
      </c>
      <c r="B80" s="7" t="s">
        <v>145</v>
      </c>
      <c r="C80" s="61">
        <v>0.95833333333333337</v>
      </c>
      <c r="D80" s="21" t="s">
        <v>55</v>
      </c>
      <c r="E80" s="67" t="s">
        <v>74</v>
      </c>
      <c r="F80" s="90"/>
      <c r="G80" s="11" t="s">
        <v>34</v>
      </c>
      <c r="H80" s="90"/>
      <c r="I80" s="68" t="s">
        <v>56</v>
      </c>
      <c r="J80" s="64" t="s">
        <v>58</v>
      </c>
    </row>
    <row r="81" spans="1:10" ht="19.5" customHeight="1" x14ac:dyDescent="0.25">
      <c r="A81" s="20">
        <v>60</v>
      </c>
      <c r="B81" s="7" t="s">
        <v>145</v>
      </c>
      <c r="C81" s="61">
        <v>0.95833333333333337</v>
      </c>
      <c r="D81" s="21" t="s">
        <v>55</v>
      </c>
      <c r="E81" s="67" t="s">
        <v>57</v>
      </c>
      <c r="F81" s="90"/>
      <c r="G81" s="11" t="s">
        <v>34</v>
      </c>
      <c r="H81" s="90"/>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c r="G83" s="11" t="s">
        <v>34</v>
      </c>
      <c r="H83" s="96"/>
      <c r="I83" s="80" t="s">
        <v>108</v>
      </c>
      <c r="J83" s="64" t="s">
        <v>64</v>
      </c>
    </row>
    <row r="84" spans="1:10" ht="19.5" customHeight="1" x14ac:dyDescent="0.25">
      <c r="A84" s="44">
        <v>62</v>
      </c>
      <c r="B84" s="7" t="s">
        <v>147</v>
      </c>
      <c r="C84" s="61">
        <v>0.66666666666666663</v>
      </c>
      <c r="D84" s="45" t="s">
        <v>107</v>
      </c>
      <c r="E84" s="79" t="s">
        <v>109</v>
      </c>
      <c r="F84" s="96"/>
      <c r="G84" s="11" t="s">
        <v>34</v>
      </c>
      <c r="H84" s="96"/>
      <c r="I84" s="80" t="s">
        <v>110</v>
      </c>
      <c r="J84" s="64" t="s">
        <v>54</v>
      </c>
    </row>
    <row r="85" spans="1:10" ht="19.5" customHeight="1" x14ac:dyDescent="0.25">
      <c r="A85" s="36">
        <v>63</v>
      </c>
      <c r="B85" s="7" t="s">
        <v>147</v>
      </c>
      <c r="C85" s="61">
        <v>0.875</v>
      </c>
      <c r="D85" s="37" t="s">
        <v>92</v>
      </c>
      <c r="E85" s="75" t="s">
        <v>94</v>
      </c>
      <c r="F85" s="94"/>
      <c r="G85" s="11" t="s">
        <v>34</v>
      </c>
      <c r="H85" s="94"/>
      <c r="I85" s="76" t="s">
        <v>100</v>
      </c>
      <c r="J85" s="64" t="s">
        <v>79</v>
      </c>
    </row>
    <row r="86" spans="1:10" ht="19.5" customHeight="1" x14ac:dyDescent="0.25">
      <c r="A86" s="36">
        <v>64</v>
      </c>
      <c r="B86" s="7" t="s">
        <v>147</v>
      </c>
      <c r="C86" s="61">
        <v>0.875</v>
      </c>
      <c r="D86" s="37" t="s">
        <v>92</v>
      </c>
      <c r="E86" s="75" t="s">
        <v>101</v>
      </c>
      <c r="F86" s="94"/>
      <c r="G86" s="11" t="s">
        <v>34</v>
      </c>
      <c r="H86" s="94"/>
      <c r="I86" s="76" t="s">
        <v>93</v>
      </c>
      <c r="J86" s="64" t="s">
        <v>48</v>
      </c>
    </row>
    <row r="87" spans="1:10" ht="19.5" customHeight="1" x14ac:dyDescent="0.25">
      <c r="A87" s="40">
        <v>65</v>
      </c>
      <c r="B87" s="7" t="s">
        <v>147</v>
      </c>
      <c r="C87" s="61">
        <v>0.99930555555555556</v>
      </c>
      <c r="D87" s="41" t="s">
        <v>96</v>
      </c>
      <c r="E87" s="77" t="s">
        <v>98</v>
      </c>
      <c r="F87" s="95"/>
      <c r="G87" s="11" t="s">
        <v>34</v>
      </c>
      <c r="H87" s="95"/>
      <c r="I87" s="78" t="s">
        <v>103</v>
      </c>
      <c r="J87" s="64" t="s">
        <v>99</v>
      </c>
    </row>
    <row r="88" spans="1:10" ht="19.5" customHeight="1" x14ac:dyDescent="0.25">
      <c r="A88" s="40">
        <v>66</v>
      </c>
      <c r="B88" s="7" t="s">
        <v>147</v>
      </c>
      <c r="C88" s="61">
        <v>0.99930555555555556</v>
      </c>
      <c r="D88" s="41" t="s">
        <v>96</v>
      </c>
      <c r="E88" s="77" t="s">
        <v>104</v>
      </c>
      <c r="F88" s="95"/>
      <c r="G88" s="11" t="s">
        <v>34</v>
      </c>
      <c r="H88" s="95"/>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c r="G90" s="11" t="s">
        <v>34</v>
      </c>
      <c r="H90" s="99"/>
      <c r="I90" s="86" t="s">
        <v>124</v>
      </c>
      <c r="J90" s="64" t="s">
        <v>67</v>
      </c>
    </row>
    <row r="91" spans="1:10" ht="19.5" customHeight="1" x14ac:dyDescent="0.25">
      <c r="A91" s="56">
        <v>68</v>
      </c>
      <c r="B91" s="7" t="s">
        <v>149</v>
      </c>
      <c r="C91" s="61">
        <v>0.75</v>
      </c>
      <c r="D91" s="57" t="s">
        <v>123</v>
      </c>
      <c r="E91" s="85" t="s">
        <v>125</v>
      </c>
      <c r="F91" s="99"/>
      <c r="G91" s="11" t="s">
        <v>34</v>
      </c>
      <c r="H91" s="99"/>
      <c r="I91" s="86" t="s">
        <v>126</v>
      </c>
      <c r="J91" s="64" t="s">
        <v>86</v>
      </c>
    </row>
    <row r="92" spans="1:10" ht="19.5" customHeight="1" x14ac:dyDescent="0.25">
      <c r="A92" s="52">
        <v>69</v>
      </c>
      <c r="B92" s="7" t="s">
        <v>149</v>
      </c>
      <c r="C92" s="61">
        <v>0.85416666666666663</v>
      </c>
      <c r="D92" s="53" t="s">
        <v>120</v>
      </c>
      <c r="E92" s="83" t="s">
        <v>129</v>
      </c>
      <c r="F92" s="98"/>
      <c r="G92" s="11" t="s">
        <v>34</v>
      </c>
      <c r="H92" s="98"/>
      <c r="I92" s="84" t="s">
        <v>121</v>
      </c>
      <c r="J92" s="64" t="s">
        <v>102</v>
      </c>
    </row>
    <row r="93" spans="1:10" ht="19.5" customHeight="1" x14ac:dyDescent="0.25">
      <c r="A93" s="52">
        <v>70</v>
      </c>
      <c r="B93" s="7" t="s">
        <v>149</v>
      </c>
      <c r="C93" s="61">
        <v>0.85416666666666663</v>
      </c>
      <c r="D93" s="53" t="s">
        <v>120</v>
      </c>
      <c r="E93" s="83" t="s">
        <v>122</v>
      </c>
      <c r="F93" s="98"/>
      <c r="G93" s="11" t="s">
        <v>34</v>
      </c>
      <c r="H93" s="98"/>
      <c r="I93" s="84" t="s">
        <v>128</v>
      </c>
      <c r="J93" s="64" t="s">
        <v>95</v>
      </c>
    </row>
    <row r="94" spans="1:10" ht="19.5" customHeight="1" x14ac:dyDescent="0.25">
      <c r="A94" s="48">
        <v>71</v>
      </c>
      <c r="B94" s="7" t="s">
        <v>149</v>
      </c>
      <c r="C94" s="61">
        <v>0.95833333333333337</v>
      </c>
      <c r="D94" s="49" t="s">
        <v>112</v>
      </c>
      <c r="E94" s="81" t="s">
        <v>114</v>
      </c>
      <c r="F94" s="97"/>
      <c r="G94" s="11" t="s">
        <v>34</v>
      </c>
      <c r="H94" s="97"/>
      <c r="I94" s="82" t="s">
        <v>118</v>
      </c>
      <c r="J94" s="64" t="s">
        <v>115</v>
      </c>
    </row>
    <row r="95" spans="1:10" ht="19.5" customHeight="1" x14ac:dyDescent="0.25">
      <c r="A95" s="48">
        <v>72</v>
      </c>
      <c r="B95" s="7" t="s">
        <v>149</v>
      </c>
      <c r="C95" s="61">
        <v>0.95833333333333337</v>
      </c>
      <c r="D95" s="49" t="s">
        <v>112</v>
      </c>
      <c r="E95" s="81" t="s">
        <v>119</v>
      </c>
      <c r="F95" s="97"/>
      <c r="G95" s="11" t="s">
        <v>34</v>
      </c>
      <c r="H95" s="97"/>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5"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4"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10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J1000"/>
  <sheetViews>
    <sheetView topLeftCell="A28" zoomScaleNormal="100" workbookViewId="0">
      <selection activeCell="H40" sqref="H40"/>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25</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c r="G8" s="11" t="s">
        <v>34</v>
      </c>
      <c r="H8" s="88"/>
      <c r="I8" s="63" t="s">
        <v>44</v>
      </c>
      <c r="J8" s="64" t="s">
        <v>45</v>
      </c>
    </row>
    <row r="9" spans="1:10" ht="19.5" customHeight="1" x14ac:dyDescent="0.25">
      <c r="A9" s="6">
        <v>2</v>
      </c>
      <c r="B9" s="7" t="s">
        <v>41</v>
      </c>
      <c r="C9" s="61">
        <v>0.95833333333333337</v>
      </c>
      <c r="D9" s="8" t="s">
        <v>42</v>
      </c>
      <c r="E9" s="62" t="s">
        <v>46</v>
      </c>
      <c r="F9" s="88"/>
      <c r="G9" s="11" t="s">
        <v>34</v>
      </c>
      <c r="H9" s="88"/>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1</v>
      </c>
      <c r="G11" s="11" t="s">
        <v>34</v>
      </c>
      <c r="H11" s="89">
        <v>1</v>
      </c>
      <c r="I11" s="66" t="s">
        <v>53</v>
      </c>
      <c r="J11" s="64" t="s">
        <v>54</v>
      </c>
    </row>
    <row r="12" spans="1:10" ht="19.5" customHeight="1" x14ac:dyDescent="0.25">
      <c r="A12" s="20">
        <v>4</v>
      </c>
      <c r="B12" s="7" t="s">
        <v>50</v>
      </c>
      <c r="C12" s="61">
        <v>0.66666666666666663</v>
      </c>
      <c r="D12" s="21" t="s">
        <v>55</v>
      </c>
      <c r="E12" s="67" t="s">
        <v>56</v>
      </c>
      <c r="F12" s="90">
        <v>1</v>
      </c>
      <c r="G12" s="11" t="s">
        <v>34</v>
      </c>
      <c r="H12" s="90">
        <v>2</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2</v>
      </c>
      <c r="G14" s="11" t="s">
        <v>34</v>
      </c>
      <c r="H14" s="91">
        <v>1</v>
      </c>
      <c r="I14" s="70" t="s">
        <v>63</v>
      </c>
      <c r="J14" s="64" t="s">
        <v>64</v>
      </c>
    </row>
    <row r="15" spans="1:10" ht="19.5" customHeight="1" x14ac:dyDescent="0.25">
      <c r="A15" s="24">
        <v>6</v>
      </c>
      <c r="B15" s="7" t="s">
        <v>60</v>
      </c>
      <c r="C15" s="61">
        <v>0.79166666666666663</v>
      </c>
      <c r="D15" s="25" t="s">
        <v>61</v>
      </c>
      <c r="E15" s="69" t="s">
        <v>65</v>
      </c>
      <c r="F15" s="91">
        <v>2</v>
      </c>
      <c r="G15" s="11" t="s">
        <v>34</v>
      </c>
      <c r="H15" s="91">
        <v>1</v>
      </c>
      <c r="I15" s="70" t="s">
        <v>66</v>
      </c>
      <c r="J15" s="64" t="s">
        <v>67</v>
      </c>
    </row>
    <row r="16" spans="1:10" ht="19.5" customHeight="1" x14ac:dyDescent="0.25">
      <c r="A16" s="16">
        <v>7</v>
      </c>
      <c r="B16" s="7" t="s">
        <v>60</v>
      </c>
      <c r="C16" s="61">
        <v>0.66666666666666663</v>
      </c>
      <c r="D16" s="17" t="s">
        <v>51</v>
      </c>
      <c r="E16" s="65" t="s">
        <v>68</v>
      </c>
      <c r="F16" s="89">
        <v>1</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2</v>
      </c>
      <c r="G18" s="11" t="s">
        <v>34</v>
      </c>
      <c r="H18" s="90">
        <v>1</v>
      </c>
      <c r="I18" s="68" t="s">
        <v>74</v>
      </c>
      <c r="J18" s="64" t="s">
        <v>75</v>
      </c>
    </row>
    <row r="19" spans="1:10" ht="19.5" customHeight="1" x14ac:dyDescent="0.25">
      <c r="A19" s="28">
        <v>9</v>
      </c>
      <c r="B19" s="7" t="s">
        <v>72</v>
      </c>
      <c r="C19" s="61">
        <v>0.58333333333333337</v>
      </c>
      <c r="D19" s="29" t="s">
        <v>76</v>
      </c>
      <c r="E19" s="71" t="s">
        <v>77</v>
      </c>
      <c r="F19" s="92">
        <v>3</v>
      </c>
      <c r="G19" s="11" t="s">
        <v>34</v>
      </c>
      <c r="H19" s="92">
        <v>0</v>
      </c>
      <c r="I19" s="72" t="s">
        <v>78</v>
      </c>
      <c r="J19" s="64" t="s">
        <v>79</v>
      </c>
    </row>
    <row r="20" spans="1:10" ht="19.5" customHeight="1" x14ac:dyDescent="0.25">
      <c r="A20" s="32">
        <v>10</v>
      </c>
      <c r="B20" s="7" t="s">
        <v>72</v>
      </c>
      <c r="C20" s="61">
        <v>0.70833333333333337</v>
      </c>
      <c r="D20" s="33" t="s">
        <v>80</v>
      </c>
      <c r="E20" s="73" t="s">
        <v>81</v>
      </c>
      <c r="F20" s="93">
        <v>2</v>
      </c>
      <c r="G20" s="11" t="s">
        <v>34</v>
      </c>
      <c r="H20" s="93">
        <v>0</v>
      </c>
      <c r="I20" s="74" t="s">
        <v>82</v>
      </c>
      <c r="J20" s="64" t="s">
        <v>83</v>
      </c>
    </row>
    <row r="21" spans="1:10" ht="19.5" customHeight="1" x14ac:dyDescent="0.25">
      <c r="A21" s="28">
        <v>11</v>
      </c>
      <c r="B21" s="7" t="s">
        <v>72</v>
      </c>
      <c r="C21" s="61">
        <v>0.83333333333333337</v>
      </c>
      <c r="D21" s="29" t="s">
        <v>76</v>
      </c>
      <c r="E21" s="71" t="s">
        <v>84</v>
      </c>
      <c r="F21" s="92">
        <v>1</v>
      </c>
      <c r="G21" s="11" t="s">
        <v>34</v>
      </c>
      <c r="H21" s="92">
        <v>2</v>
      </c>
      <c r="I21" s="72" t="s">
        <v>85</v>
      </c>
      <c r="J21" s="64" t="s">
        <v>86</v>
      </c>
    </row>
    <row r="22" spans="1:10" ht="19.5" customHeight="1" x14ac:dyDescent="0.25">
      <c r="A22" s="32">
        <v>12</v>
      </c>
      <c r="B22" s="7" t="s">
        <v>72</v>
      </c>
      <c r="C22" s="61">
        <v>0.95833333333333337</v>
      </c>
      <c r="D22" s="33" t="s">
        <v>80</v>
      </c>
      <c r="E22" s="73" t="s">
        <v>87</v>
      </c>
      <c r="F22" s="93">
        <v>0</v>
      </c>
      <c r="G22" s="11" t="s">
        <v>34</v>
      </c>
      <c r="H22" s="93">
        <v>1</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2</v>
      </c>
      <c r="G24" s="11" t="s">
        <v>34</v>
      </c>
      <c r="H24" s="94">
        <v>0</v>
      </c>
      <c r="I24" s="76" t="s">
        <v>94</v>
      </c>
      <c r="J24" s="64" t="s">
        <v>95</v>
      </c>
    </row>
    <row r="25" spans="1:10" ht="19.5" customHeight="1" x14ac:dyDescent="0.25">
      <c r="A25" s="40">
        <v>14</v>
      </c>
      <c r="B25" s="7" t="s">
        <v>91</v>
      </c>
      <c r="C25" s="61">
        <v>0.66666666666666663</v>
      </c>
      <c r="D25" s="41" t="s">
        <v>96</v>
      </c>
      <c r="E25" s="77" t="s">
        <v>97</v>
      </c>
      <c r="F25" s="95">
        <v>2</v>
      </c>
      <c r="G25" s="11" t="s">
        <v>34</v>
      </c>
      <c r="H25" s="95">
        <v>0</v>
      </c>
      <c r="I25" s="78" t="s">
        <v>98</v>
      </c>
      <c r="J25" s="64" t="s">
        <v>99</v>
      </c>
    </row>
    <row r="26" spans="1:10" ht="19.5" customHeight="1" x14ac:dyDescent="0.25">
      <c r="A26" s="36">
        <v>15</v>
      </c>
      <c r="B26" s="7" t="s">
        <v>91</v>
      </c>
      <c r="C26" s="61">
        <v>0.79166666666666663</v>
      </c>
      <c r="D26" s="37" t="s">
        <v>92</v>
      </c>
      <c r="E26" s="75" t="s">
        <v>100</v>
      </c>
      <c r="F26" s="94">
        <v>1</v>
      </c>
      <c r="G26" s="11" t="s">
        <v>34</v>
      </c>
      <c r="H26" s="94">
        <v>2</v>
      </c>
      <c r="I26" s="76" t="s">
        <v>101</v>
      </c>
      <c r="J26" s="64" t="s">
        <v>102</v>
      </c>
    </row>
    <row r="27" spans="1:10" ht="19.5" customHeight="1" x14ac:dyDescent="0.25">
      <c r="A27" s="40">
        <v>16</v>
      </c>
      <c r="B27" s="7" t="s">
        <v>91</v>
      </c>
      <c r="C27" s="61">
        <v>0.91666666666666663</v>
      </c>
      <c r="D27" s="41" t="s">
        <v>96</v>
      </c>
      <c r="E27" s="77" t="s">
        <v>103</v>
      </c>
      <c r="F27" s="95">
        <v>1</v>
      </c>
      <c r="G27" s="11" t="s">
        <v>34</v>
      </c>
      <c r="H27" s="95">
        <v>1</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2</v>
      </c>
      <c r="G29" s="11" t="s">
        <v>34</v>
      </c>
      <c r="H29" s="96">
        <v>0</v>
      </c>
      <c r="I29" s="80" t="s">
        <v>109</v>
      </c>
      <c r="J29" s="64" t="s">
        <v>67</v>
      </c>
    </row>
    <row r="30" spans="1:10" ht="19.5" customHeight="1" x14ac:dyDescent="0.25">
      <c r="A30" s="44">
        <v>18</v>
      </c>
      <c r="B30" s="7" t="s">
        <v>106</v>
      </c>
      <c r="C30" s="61">
        <v>0.79166666666666663</v>
      </c>
      <c r="D30" s="45" t="s">
        <v>107</v>
      </c>
      <c r="E30" s="79" t="s">
        <v>110</v>
      </c>
      <c r="F30" s="96">
        <v>1</v>
      </c>
      <c r="G30" s="11" t="s">
        <v>34</v>
      </c>
      <c r="H30" s="96">
        <v>2</v>
      </c>
      <c r="I30" s="80" t="s">
        <v>111</v>
      </c>
      <c r="J30" s="64" t="s">
        <v>64</v>
      </c>
    </row>
    <row r="31" spans="1:10" ht="19.5" customHeight="1" x14ac:dyDescent="0.25">
      <c r="A31" s="48">
        <v>19</v>
      </c>
      <c r="B31" s="7" t="s">
        <v>106</v>
      </c>
      <c r="C31" s="61">
        <v>0.91666666666666663</v>
      </c>
      <c r="D31" s="49" t="s">
        <v>112</v>
      </c>
      <c r="E31" s="81" t="s">
        <v>113</v>
      </c>
      <c r="F31" s="97">
        <v>3</v>
      </c>
      <c r="G31" s="11" t="s">
        <v>34</v>
      </c>
      <c r="H31" s="97">
        <v>0</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1</v>
      </c>
      <c r="G33" s="11" t="s">
        <v>34</v>
      </c>
      <c r="H33" s="97">
        <v>1</v>
      </c>
      <c r="I33" s="82" t="s">
        <v>119</v>
      </c>
      <c r="J33" s="64" t="s">
        <v>70</v>
      </c>
    </row>
    <row r="34" spans="1:10" ht="19.5" customHeight="1" x14ac:dyDescent="0.25">
      <c r="A34" s="52">
        <v>21</v>
      </c>
      <c r="B34" s="7" t="s">
        <v>117</v>
      </c>
      <c r="C34" s="61">
        <v>0.58333333333333337</v>
      </c>
      <c r="D34" s="53" t="s">
        <v>120</v>
      </c>
      <c r="E34" s="83" t="s">
        <v>121</v>
      </c>
      <c r="F34" s="98">
        <v>3</v>
      </c>
      <c r="G34" s="11" t="s">
        <v>34</v>
      </c>
      <c r="H34" s="98">
        <v>1</v>
      </c>
      <c r="I34" s="84" t="s">
        <v>122</v>
      </c>
      <c r="J34" s="64" t="s">
        <v>79</v>
      </c>
    </row>
    <row r="35" spans="1:10" ht="19.5" customHeight="1" x14ac:dyDescent="0.25">
      <c r="A35" s="56">
        <v>22</v>
      </c>
      <c r="B35" s="7" t="s">
        <v>117</v>
      </c>
      <c r="C35" s="61">
        <v>0.70833333333333337</v>
      </c>
      <c r="D35" s="57" t="s">
        <v>123</v>
      </c>
      <c r="E35" s="85" t="s">
        <v>124</v>
      </c>
      <c r="F35" s="99">
        <v>3</v>
      </c>
      <c r="G35" s="11" t="s">
        <v>34</v>
      </c>
      <c r="H35" s="99">
        <v>2</v>
      </c>
      <c r="I35" s="86" t="s">
        <v>125</v>
      </c>
      <c r="J35" s="64" t="s">
        <v>83</v>
      </c>
    </row>
    <row r="36" spans="1:10" ht="19.5" customHeight="1" x14ac:dyDescent="0.25">
      <c r="A36" s="56">
        <v>23</v>
      </c>
      <c r="B36" s="7" t="s">
        <v>117</v>
      </c>
      <c r="C36" s="61">
        <v>0.83333333333333337</v>
      </c>
      <c r="D36" s="57" t="s">
        <v>123</v>
      </c>
      <c r="E36" s="85" t="s">
        <v>126</v>
      </c>
      <c r="F36" s="99">
        <v>1</v>
      </c>
      <c r="G36" s="11" t="s">
        <v>34</v>
      </c>
      <c r="H36" s="99">
        <v>2</v>
      </c>
      <c r="I36" s="86" t="s">
        <v>127</v>
      </c>
      <c r="J36" s="64" t="s">
        <v>54</v>
      </c>
    </row>
    <row r="37" spans="1:10" ht="19.5" customHeight="1" x14ac:dyDescent="0.25">
      <c r="A37" s="52">
        <v>24</v>
      </c>
      <c r="B37" s="7" t="s">
        <v>117</v>
      </c>
      <c r="C37" s="61">
        <v>0.95833333333333337</v>
      </c>
      <c r="D37" s="53" t="s">
        <v>120</v>
      </c>
      <c r="E37" s="83" t="s">
        <v>128</v>
      </c>
      <c r="F37" s="98">
        <v>0</v>
      </c>
      <c r="G37" s="11" t="s">
        <v>34</v>
      </c>
      <c r="H37" s="98">
        <v>2</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2</v>
      </c>
      <c r="G39" s="11" t="s">
        <v>34</v>
      </c>
      <c r="H39" s="88">
        <v>1</v>
      </c>
      <c r="I39" s="63" t="s">
        <v>44</v>
      </c>
      <c r="J39" s="64" t="s">
        <v>95</v>
      </c>
    </row>
    <row r="40" spans="1:10" ht="19.5" customHeight="1" x14ac:dyDescent="0.25">
      <c r="A40" s="16">
        <v>26</v>
      </c>
      <c r="B40" s="7" t="s">
        <v>131</v>
      </c>
      <c r="C40" s="61">
        <v>0.66666666666666663</v>
      </c>
      <c r="D40" s="17" t="s">
        <v>51</v>
      </c>
      <c r="E40" s="65" t="s">
        <v>69</v>
      </c>
      <c r="F40" s="89">
        <v>1</v>
      </c>
      <c r="G40" s="11" t="s">
        <v>34</v>
      </c>
      <c r="H40" s="89">
        <v>2</v>
      </c>
      <c r="I40" s="66" t="s">
        <v>53</v>
      </c>
      <c r="J40" s="64" t="s">
        <v>58</v>
      </c>
    </row>
    <row r="41" spans="1:10" ht="19.5" customHeight="1" x14ac:dyDescent="0.25">
      <c r="A41" s="16">
        <v>27</v>
      </c>
      <c r="B41" s="7" t="s">
        <v>131</v>
      </c>
      <c r="C41" s="61">
        <v>0.79166666666666663</v>
      </c>
      <c r="D41" s="17" t="s">
        <v>51</v>
      </c>
      <c r="E41" s="65" t="s">
        <v>52</v>
      </c>
      <c r="F41" s="89">
        <v>2</v>
      </c>
      <c r="G41" s="11" t="s">
        <v>34</v>
      </c>
      <c r="H41" s="89">
        <v>0</v>
      </c>
      <c r="I41" s="66" t="s">
        <v>68</v>
      </c>
      <c r="J41" s="64" t="s">
        <v>75</v>
      </c>
    </row>
    <row r="42" spans="1:10" ht="19.5" customHeight="1" x14ac:dyDescent="0.25">
      <c r="A42" s="6">
        <v>28</v>
      </c>
      <c r="B42" s="7" t="s">
        <v>131</v>
      </c>
      <c r="C42" s="61">
        <v>0.91666666666666663</v>
      </c>
      <c r="D42" s="8" t="s">
        <v>42</v>
      </c>
      <c r="E42" s="62" t="s">
        <v>43</v>
      </c>
      <c r="F42" s="88">
        <v>1</v>
      </c>
      <c r="G42" s="11" t="s">
        <v>34</v>
      </c>
      <c r="H42" s="88">
        <v>2</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1</v>
      </c>
      <c r="I44" s="68" t="s">
        <v>73</v>
      </c>
      <c r="J44" s="64" t="s">
        <v>99</v>
      </c>
    </row>
    <row r="45" spans="1:10" ht="19.5" customHeight="1" x14ac:dyDescent="0.25">
      <c r="A45" s="24">
        <v>30</v>
      </c>
      <c r="B45" s="7" t="s">
        <v>133</v>
      </c>
      <c r="C45" s="61">
        <v>0.79166666666666663</v>
      </c>
      <c r="D45" s="25" t="s">
        <v>61</v>
      </c>
      <c r="E45" s="69" t="s">
        <v>63</v>
      </c>
      <c r="F45" s="91">
        <v>0</v>
      </c>
      <c r="G45" s="11" t="s">
        <v>34</v>
      </c>
      <c r="H45" s="91">
        <v>2</v>
      </c>
      <c r="I45" s="70" t="s">
        <v>66</v>
      </c>
      <c r="J45" s="64" t="s">
        <v>64</v>
      </c>
    </row>
    <row r="46" spans="1:10" ht="19.5" customHeight="1" x14ac:dyDescent="0.25">
      <c r="A46" s="24">
        <v>31</v>
      </c>
      <c r="B46" s="7" t="s">
        <v>133</v>
      </c>
      <c r="C46" s="61">
        <v>0.89583333333333337</v>
      </c>
      <c r="D46" s="25" t="s">
        <v>61</v>
      </c>
      <c r="E46" s="69" t="s">
        <v>65</v>
      </c>
      <c r="F46" s="91">
        <v>3</v>
      </c>
      <c r="G46" s="11" t="s">
        <v>34</v>
      </c>
      <c r="H46" s="91">
        <v>1</v>
      </c>
      <c r="I46" s="70" t="s">
        <v>62</v>
      </c>
      <c r="J46" s="64" t="s">
        <v>86</v>
      </c>
    </row>
    <row r="47" spans="1:10" ht="19.5" customHeight="1" x14ac:dyDescent="0.25">
      <c r="A47" s="20">
        <v>32</v>
      </c>
      <c r="B47" s="7" t="s">
        <v>133</v>
      </c>
      <c r="C47" s="61">
        <v>0.99930555555555556</v>
      </c>
      <c r="D47" s="21" t="s">
        <v>55</v>
      </c>
      <c r="E47" s="67" t="s">
        <v>74</v>
      </c>
      <c r="F47" s="90">
        <v>0</v>
      </c>
      <c r="G47" s="11" t="s">
        <v>34</v>
      </c>
      <c r="H47" s="90">
        <v>0</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2</v>
      </c>
      <c r="G49" s="11" t="s">
        <v>34</v>
      </c>
      <c r="H49" s="93">
        <v>1</v>
      </c>
      <c r="I49" s="74" t="s">
        <v>87</v>
      </c>
      <c r="J49" s="64" t="s">
        <v>79</v>
      </c>
    </row>
    <row r="50" spans="1:10" ht="19.5" customHeight="1" x14ac:dyDescent="0.25">
      <c r="A50" s="28">
        <v>34</v>
      </c>
      <c r="B50" s="7" t="s">
        <v>135</v>
      </c>
      <c r="C50" s="61">
        <v>0.70833333333333337</v>
      </c>
      <c r="D50" s="29" t="s">
        <v>76</v>
      </c>
      <c r="E50" s="71" t="s">
        <v>77</v>
      </c>
      <c r="F50" s="92">
        <v>3</v>
      </c>
      <c r="G50" s="11" t="s">
        <v>34</v>
      </c>
      <c r="H50" s="92">
        <v>2</v>
      </c>
      <c r="I50" s="72" t="s">
        <v>84</v>
      </c>
      <c r="J50" s="64" t="s">
        <v>54</v>
      </c>
    </row>
    <row r="51" spans="1:10" ht="19.5" customHeight="1" x14ac:dyDescent="0.25">
      <c r="A51" s="28">
        <v>35</v>
      </c>
      <c r="B51" s="7" t="s">
        <v>135</v>
      </c>
      <c r="C51" s="61">
        <v>0.875</v>
      </c>
      <c r="D51" s="29" t="s">
        <v>76</v>
      </c>
      <c r="E51" s="71" t="s">
        <v>85</v>
      </c>
      <c r="F51" s="92">
        <v>2</v>
      </c>
      <c r="G51" s="11" t="s">
        <v>34</v>
      </c>
      <c r="H51" s="92">
        <v>1</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1</v>
      </c>
      <c r="G53" s="11" t="s">
        <v>34</v>
      </c>
      <c r="H53" s="93">
        <v>2</v>
      </c>
      <c r="I53" s="74" t="s">
        <v>82</v>
      </c>
      <c r="J53" s="64" t="s">
        <v>89</v>
      </c>
    </row>
    <row r="54" spans="1:10" ht="19.5" customHeight="1" x14ac:dyDescent="0.25">
      <c r="A54" s="36">
        <v>37</v>
      </c>
      <c r="B54" s="7" t="s">
        <v>137</v>
      </c>
      <c r="C54" s="61">
        <v>0.54166666666666663</v>
      </c>
      <c r="D54" s="37" t="s">
        <v>92</v>
      </c>
      <c r="E54" s="75" t="s">
        <v>93</v>
      </c>
      <c r="F54" s="94">
        <v>2</v>
      </c>
      <c r="G54" s="11" t="s">
        <v>34</v>
      </c>
      <c r="H54" s="94">
        <v>1</v>
      </c>
      <c r="I54" s="76" t="s">
        <v>100</v>
      </c>
      <c r="J54" s="64" t="s">
        <v>95</v>
      </c>
    </row>
    <row r="55" spans="1:10" ht="19.5" customHeight="1" x14ac:dyDescent="0.25">
      <c r="A55" s="40">
        <v>38</v>
      </c>
      <c r="B55" s="7" t="s">
        <v>137</v>
      </c>
      <c r="C55" s="61">
        <v>0.66666666666666663</v>
      </c>
      <c r="D55" s="41" t="s">
        <v>96</v>
      </c>
      <c r="E55" s="77" t="s">
        <v>97</v>
      </c>
      <c r="F55" s="95">
        <v>2</v>
      </c>
      <c r="G55" s="11" t="s">
        <v>34</v>
      </c>
      <c r="H55" s="95">
        <v>1</v>
      </c>
      <c r="I55" s="78" t="s">
        <v>103</v>
      </c>
      <c r="J55" s="64" t="s">
        <v>58</v>
      </c>
    </row>
    <row r="56" spans="1:10" ht="19.5" customHeight="1" x14ac:dyDescent="0.25">
      <c r="A56" s="36">
        <v>39</v>
      </c>
      <c r="B56" s="7" t="s">
        <v>137</v>
      </c>
      <c r="C56" s="61">
        <v>0.79166666666666663</v>
      </c>
      <c r="D56" s="37" t="s">
        <v>92</v>
      </c>
      <c r="E56" s="75" t="s">
        <v>101</v>
      </c>
      <c r="F56" s="94">
        <v>2</v>
      </c>
      <c r="G56" s="11" t="s">
        <v>34</v>
      </c>
      <c r="H56" s="94">
        <v>0</v>
      </c>
      <c r="I56" s="76" t="s">
        <v>94</v>
      </c>
      <c r="J56" s="64" t="s">
        <v>102</v>
      </c>
    </row>
    <row r="57" spans="1:10" ht="19.5" customHeight="1" x14ac:dyDescent="0.25">
      <c r="A57" s="40">
        <v>40</v>
      </c>
      <c r="B57" s="7" t="s">
        <v>137</v>
      </c>
      <c r="C57" s="61">
        <v>0.91666666666666663</v>
      </c>
      <c r="D57" s="41" t="s">
        <v>96</v>
      </c>
      <c r="E57" s="77" t="s">
        <v>104</v>
      </c>
      <c r="F57" s="95">
        <v>1</v>
      </c>
      <c r="G57" s="11" t="s">
        <v>34</v>
      </c>
      <c r="H57" s="95">
        <v>0</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2</v>
      </c>
      <c r="G59" s="11" t="s">
        <v>34</v>
      </c>
      <c r="H59" s="97">
        <v>0</v>
      </c>
      <c r="I59" s="82" t="s">
        <v>118</v>
      </c>
      <c r="J59" s="64" t="s">
        <v>83</v>
      </c>
    </row>
    <row r="60" spans="1:10" ht="19.5" customHeight="1" x14ac:dyDescent="0.25">
      <c r="A60" s="44">
        <v>42</v>
      </c>
      <c r="B60" s="7" t="s">
        <v>139</v>
      </c>
      <c r="C60" s="61">
        <v>0.75</v>
      </c>
      <c r="D60" s="45" t="s">
        <v>107</v>
      </c>
      <c r="E60" s="79" t="s">
        <v>108</v>
      </c>
      <c r="F60" s="96">
        <v>2</v>
      </c>
      <c r="G60" s="11" t="s">
        <v>34</v>
      </c>
      <c r="H60" s="96">
        <v>1</v>
      </c>
      <c r="I60" s="80" t="s">
        <v>110</v>
      </c>
      <c r="J60" s="64" t="s">
        <v>86</v>
      </c>
    </row>
    <row r="61" spans="1:10" ht="19.5" customHeight="1" x14ac:dyDescent="0.25">
      <c r="A61" s="44">
        <v>43</v>
      </c>
      <c r="B61" s="7" t="s">
        <v>139</v>
      </c>
      <c r="C61" s="61">
        <v>0.875</v>
      </c>
      <c r="D61" s="45" t="s">
        <v>107</v>
      </c>
      <c r="E61" s="79" t="s">
        <v>111</v>
      </c>
      <c r="F61" s="96">
        <v>1</v>
      </c>
      <c r="G61" s="11" t="s">
        <v>34</v>
      </c>
      <c r="H61" s="96">
        <v>1</v>
      </c>
      <c r="I61" s="80" t="s">
        <v>109</v>
      </c>
      <c r="J61" s="64" t="s">
        <v>67</v>
      </c>
    </row>
    <row r="62" spans="1:10" ht="19.5" customHeight="1" x14ac:dyDescent="0.25">
      <c r="A62" s="48">
        <v>44</v>
      </c>
      <c r="B62" s="7" t="s">
        <v>139</v>
      </c>
      <c r="C62" s="61">
        <v>0.99930555555555556</v>
      </c>
      <c r="D62" s="49" t="s">
        <v>112</v>
      </c>
      <c r="E62" s="81" t="s">
        <v>119</v>
      </c>
      <c r="F62" s="97">
        <v>1</v>
      </c>
      <c r="G62" s="11" t="s">
        <v>34</v>
      </c>
      <c r="H62" s="97">
        <v>1</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2</v>
      </c>
      <c r="G64" s="11" t="s">
        <v>34</v>
      </c>
      <c r="H64" s="98">
        <v>0</v>
      </c>
      <c r="I64" s="84" t="s">
        <v>128</v>
      </c>
      <c r="J64" s="64" t="s">
        <v>79</v>
      </c>
    </row>
    <row r="65" spans="1:10" ht="19.5" customHeight="1" x14ac:dyDescent="0.25">
      <c r="A65" s="56">
        <v>46</v>
      </c>
      <c r="B65" s="7" t="s">
        <v>141</v>
      </c>
      <c r="C65" s="61">
        <v>0.70833333333333337</v>
      </c>
      <c r="D65" s="57" t="s">
        <v>123</v>
      </c>
      <c r="E65" s="85" t="s">
        <v>124</v>
      </c>
      <c r="F65" s="99">
        <v>2</v>
      </c>
      <c r="G65" s="11" t="s">
        <v>34</v>
      </c>
      <c r="H65" s="99">
        <v>0</v>
      </c>
      <c r="I65" s="86" t="s">
        <v>126</v>
      </c>
      <c r="J65" s="64" t="s">
        <v>64</v>
      </c>
    </row>
    <row r="66" spans="1:10" ht="19.5" customHeight="1" x14ac:dyDescent="0.25">
      <c r="A66" s="56">
        <v>47</v>
      </c>
      <c r="B66" s="7" t="s">
        <v>141</v>
      </c>
      <c r="C66" s="61">
        <v>0.83333333333333337</v>
      </c>
      <c r="D66" s="57" t="s">
        <v>123</v>
      </c>
      <c r="E66" s="85" t="s">
        <v>127</v>
      </c>
      <c r="F66" s="99">
        <v>1</v>
      </c>
      <c r="G66" s="11" t="s">
        <v>34</v>
      </c>
      <c r="H66" s="99">
        <v>1</v>
      </c>
      <c r="I66" s="86" t="s">
        <v>125</v>
      </c>
      <c r="J66" s="64" t="s">
        <v>54</v>
      </c>
    </row>
    <row r="67" spans="1:10" ht="19.5" customHeight="1" x14ac:dyDescent="0.25">
      <c r="A67" s="52">
        <v>48</v>
      </c>
      <c r="B67" s="7" t="s">
        <v>141</v>
      </c>
      <c r="C67" s="61">
        <v>0.95833333333333337</v>
      </c>
      <c r="D67" s="53" t="s">
        <v>120</v>
      </c>
      <c r="E67" s="83" t="s">
        <v>129</v>
      </c>
      <c r="F67" s="98">
        <v>2</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1</v>
      </c>
      <c r="G69" s="11" t="s">
        <v>34</v>
      </c>
      <c r="H69" s="89">
        <v>1</v>
      </c>
      <c r="I69" s="66" t="s">
        <v>52</v>
      </c>
      <c r="J69" s="64" t="s">
        <v>75</v>
      </c>
    </row>
    <row r="70" spans="1:10" ht="19.5" customHeight="1" x14ac:dyDescent="0.25">
      <c r="A70" s="16">
        <v>50</v>
      </c>
      <c r="B70" s="7" t="s">
        <v>143</v>
      </c>
      <c r="C70" s="61">
        <v>0.66666666666666663</v>
      </c>
      <c r="D70" s="17" t="s">
        <v>51</v>
      </c>
      <c r="E70" s="65" t="s">
        <v>53</v>
      </c>
      <c r="F70" s="89">
        <v>2</v>
      </c>
      <c r="G70" s="11" t="s">
        <v>34</v>
      </c>
      <c r="H70" s="89">
        <v>1</v>
      </c>
      <c r="I70" s="66" t="s">
        <v>68</v>
      </c>
      <c r="J70" s="64" t="s">
        <v>99</v>
      </c>
    </row>
    <row r="71" spans="1:10" ht="19.5" customHeight="1" x14ac:dyDescent="0.25">
      <c r="A71" s="24">
        <v>51</v>
      </c>
      <c r="B71" s="7" t="s">
        <v>143</v>
      </c>
      <c r="C71" s="61">
        <v>0.79166666666666663</v>
      </c>
      <c r="D71" s="25" t="s">
        <v>61</v>
      </c>
      <c r="E71" s="69" t="s">
        <v>63</v>
      </c>
      <c r="F71" s="91">
        <v>0</v>
      </c>
      <c r="G71" s="11" t="s">
        <v>34</v>
      </c>
      <c r="H71" s="91">
        <v>2</v>
      </c>
      <c r="I71" s="70" t="s">
        <v>65</v>
      </c>
      <c r="J71" s="64" t="s">
        <v>102</v>
      </c>
    </row>
    <row r="72" spans="1:10" ht="19.5" customHeight="1" x14ac:dyDescent="0.25">
      <c r="A72" s="24">
        <v>52</v>
      </c>
      <c r="B72" s="7" t="s">
        <v>143</v>
      </c>
      <c r="C72" s="61">
        <v>0.79166666666666663</v>
      </c>
      <c r="D72" s="25" t="s">
        <v>61</v>
      </c>
      <c r="E72" s="69" t="s">
        <v>66</v>
      </c>
      <c r="F72" s="91">
        <v>1</v>
      </c>
      <c r="G72" s="11" t="s">
        <v>34</v>
      </c>
      <c r="H72" s="91">
        <v>0</v>
      </c>
      <c r="I72" s="70" t="s">
        <v>62</v>
      </c>
      <c r="J72" s="64" t="s">
        <v>95</v>
      </c>
    </row>
    <row r="73" spans="1:10" ht="19.5" customHeight="1" x14ac:dyDescent="0.25">
      <c r="A73" s="6">
        <v>53</v>
      </c>
      <c r="B73" s="7" t="s">
        <v>143</v>
      </c>
      <c r="C73" s="61">
        <v>0.91666666666666663</v>
      </c>
      <c r="D73" s="8" t="s">
        <v>42</v>
      </c>
      <c r="E73" s="62" t="s">
        <v>47</v>
      </c>
      <c r="F73" s="88">
        <v>1</v>
      </c>
      <c r="G73" s="11" t="s">
        <v>34</v>
      </c>
      <c r="H73" s="88">
        <v>1</v>
      </c>
      <c r="I73" s="63" t="s">
        <v>43</v>
      </c>
      <c r="J73" s="64" t="s">
        <v>45</v>
      </c>
    </row>
    <row r="74" spans="1:10" ht="19.5" customHeight="1" x14ac:dyDescent="0.25">
      <c r="A74" s="6">
        <v>54</v>
      </c>
      <c r="B74" s="7" t="s">
        <v>143</v>
      </c>
      <c r="C74" s="61">
        <v>0.91666666666666663</v>
      </c>
      <c r="D74" s="8" t="s">
        <v>42</v>
      </c>
      <c r="E74" s="62" t="s">
        <v>44</v>
      </c>
      <c r="F74" s="88">
        <v>0</v>
      </c>
      <c r="G74" s="11" t="s">
        <v>34</v>
      </c>
      <c r="H74" s="88">
        <v>2</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1</v>
      </c>
      <c r="G76" s="11" t="s">
        <v>34</v>
      </c>
      <c r="H76" s="92">
        <v>2</v>
      </c>
      <c r="I76" s="72" t="s">
        <v>84</v>
      </c>
      <c r="J76" s="64" t="s">
        <v>86</v>
      </c>
    </row>
    <row r="77" spans="1:10" ht="19.5" customHeight="1" x14ac:dyDescent="0.25">
      <c r="A77" s="28">
        <v>56</v>
      </c>
      <c r="B77" s="7" t="s">
        <v>145</v>
      </c>
      <c r="C77" s="61">
        <v>0.70833333333333337</v>
      </c>
      <c r="D77" s="29" t="s">
        <v>76</v>
      </c>
      <c r="E77" s="71" t="s">
        <v>85</v>
      </c>
      <c r="F77" s="92">
        <v>1</v>
      </c>
      <c r="G77" s="11" t="s">
        <v>34</v>
      </c>
      <c r="H77" s="92">
        <v>2</v>
      </c>
      <c r="I77" s="72" t="s">
        <v>77</v>
      </c>
      <c r="J77" s="64" t="s">
        <v>67</v>
      </c>
    </row>
    <row r="78" spans="1:10" ht="19.5" customHeight="1" x14ac:dyDescent="0.25">
      <c r="A78" s="32">
        <v>57</v>
      </c>
      <c r="B78" s="7" t="s">
        <v>145</v>
      </c>
      <c r="C78" s="61">
        <v>0.83333333333333337</v>
      </c>
      <c r="D78" s="33" t="s">
        <v>80</v>
      </c>
      <c r="E78" s="73" t="s">
        <v>82</v>
      </c>
      <c r="F78" s="93">
        <v>2</v>
      </c>
      <c r="G78" s="11" t="s">
        <v>34</v>
      </c>
      <c r="H78" s="93">
        <v>2</v>
      </c>
      <c r="I78" s="74" t="s">
        <v>87</v>
      </c>
      <c r="J78" s="64" t="s">
        <v>83</v>
      </c>
    </row>
    <row r="79" spans="1:10" ht="19.5" customHeight="1" x14ac:dyDescent="0.25">
      <c r="A79" s="32">
        <v>58</v>
      </c>
      <c r="B79" s="7" t="s">
        <v>145</v>
      </c>
      <c r="C79" s="61">
        <v>0.83333333333333337</v>
      </c>
      <c r="D79" s="33" t="s">
        <v>80</v>
      </c>
      <c r="E79" s="73" t="s">
        <v>88</v>
      </c>
      <c r="F79" s="93">
        <v>0</v>
      </c>
      <c r="G79" s="11" t="s">
        <v>34</v>
      </c>
      <c r="H79" s="93">
        <v>2</v>
      </c>
      <c r="I79" s="74" t="s">
        <v>81</v>
      </c>
      <c r="J79" s="64" t="s">
        <v>115</v>
      </c>
    </row>
    <row r="80" spans="1:10" ht="19.5" customHeight="1" x14ac:dyDescent="0.25">
      <c r="A80" s="20">
        <v>59</v>
      </c>
      <c r="B80" s="7" t="s">
        <v>145</v>
      </c>
      <c r="C80" s="61">
        <v>0.95833333333333337</v>
      </c>
      <c r="D80" s="21" t="s">
        <v>55</v>
      </c>
      <c r="E80" s="67" t="s">
        <v>74</v>
      </c>
      <c r="F80" s="90">
        <v>1</v>
      </c>
      <c r="G80" s="11" t="s">
        <v>34</v>
      </c>
      <c r="H80" s="90">
        <v>0</v>
      </c>
      <c r="I80" s="68" t="s">
        <v>56</v>
      </c>
      <c r="J80" s="64" t="s">
        <v>58</v>
      </c>
    </row>
    <row r="81" spans="1:10" ht="19.5" customHeight="1" x14ac:dyDescent="0.25">
      <c r="A81" s="20">
        <v>60</v>
      </c>
      <c r="B81" s="7" t="s">
        <v>145</v>
      </c>
      <c r="C81" s="61">
        <v>0.95833333333333337</v>
      </c>
      <c r="D81" s="21" t="s">
        <v>55</v>
      </c>
      <c r="E81" s="67" t="s">
        <v>57</v>
      </c>
      <c r="F81" s="90">
        <v>2</v>
      </c>
      <c r="G81" s="11" t="s">
        <v>34</v>
      </c>
      <c r="H81" s="90">
        <v>0</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c r="G83" s="11" t="s">
        <v>34</v>
      </c>
      <c r="H83" s="96"/>
      <c r="I83" s="80" t="s">
        <v>108</v>
      </c>
      <c r="J83" s="64" t="s">
        <v>64</v>
      </c>
    </row>
    <row r="84" spans="1:10" ht="19.5" customHeight="1" x14ac:dyDescent="0.25">
      <c r="A84" s="44">
        <v>62</v>
      </c>
      <c r="B84" s="7" t="s">
        <v>147</v>
      </c>
      <c r="C84" s="61">
        <v>0.66666666666666663</v>
      </c>
      <c r="D84" s="45" t="s">
        <v>107</v>
      </c>
      <c r="E84" s="79" t="s">
        <v>109</v>
      </c>
      <c r="F84" s="96"/>
      <c r="G84" s="11" t="s">
        <v>34</v>
      </c>
      <c r="H84" s="96"/>
      <c r="I84" s="80" t="s">
        <v>110</v>
      </c>
      <c r="J84" s="64" t="s">
        <v>54</v>
      </c>
    </row>
    <row r="85" spans="1:10" ht="19.5" customHeight="1" x14ac:dyDescent="0.25">
      <c r="A85" s="36">
        <v>63</v>
      </c>
      <c r="B85" s="7" t="s">
        <v>147</v>
      </c>
      <c r="C85" s="61">
        <v>0.875</v>
      </c>
      <c r="D85" s="37" t="s">
        <v>92</v>
      </c>
      <c r="E85" s="75" t="s">
        <v>94</v>
      </c>
      <c r="F85" s="94">
        <v>0</v>
      </c>
      <c r="G85" s="11" t="s">
        <v>34</v>
      </c>
      <c r="H85" s="94">
        <v>1</v>
      </c>
      <c r="I85" s="76" t="s">
        <v>100</v>
      </c>
      <c r="J85" s="64" t="s">
        <v>79</v>
      </c>
    </row>
    <row r="86" spans="1:10" ht="19.5" customHeight="1" x14ac:dyDescent="0.25">
      <c r="A86" s="36">
        <v>64</v>
      </c>
      <c r="B86" s="7" t="s">
        <v>147</v>
      </c>
      <c r="C86" s="61">
        <v>0.875</v>
      </c>
      <c r="D86" s="37" t="s">
        <v>92</v>
      </c>
      <c r="E86" s="75" t="s">
        <v>101</v>
      </c>
      <c r="F86" s="94">
        <v>2</v>
      </c>
      <c r="G86" s="11" t="s">
        <v>34</v>
      </c>
      <c r="H86" s="94">
        <v>0</v>
      </c>
      <c r="I86" s="76" t="s">
        <v>93</v>
      </c>
      <c r="J86" s="64" t="s">
        <v>48</v>
      </c>
    </row>
    <row r="87" spans="1:10" ht="19.5" customHeight="1" x14ac:dyDescent="0.25">
      <c r="A87" s="40">
        <v>65</v>
      </c>
      <c r="B87" s="7" t="s">
        <v>147</v>
      </c>
      <c r="C87" s="61">
        <v>0.99930555555555556</v>
      </c>
      <c r="D87" s="41" t="s">
        <v>96</v>
      </c>
      <c r="E87" s="77" t="s">
        <v>98</v>
      </c>
      <c r="F87" s="95">
        <v>2</v>
      </c>
      <c r="G87" s="11" t="s">
        <v>34</v>
      </c>
      <c r="H87" s="95">
        <v>0</v>
      </c>
      <c r="I87" s="78" t="s">
        <v>103</v>
      </c>
      <c r="J87" s="64" t="s">
        <v>99</v>
      </c>
    </row>
    <row r="88" spans="1:10" ht="19.5" customHeight="1" x14ac:dyDescent="0.25">
      <c r="A88" s="40">
        <v>66</v>
      </c>
      <c r="B88" s="7" t="s">
        <v>147</v>
      </c>
      <c r="C88" s="61">
        <v>0.99930555555555556</v>
      </c>
      <c r="D88" s="41" t="s">
        <v>96</v>
      </c>
      <c r="E88" s="77" t="s">
        <v>104</v>
      </c>
      <c r="F88" s="95">
        <v>1</v>
      </c>
      <c r="G88" s="11" t="s">
        <v>34</v>
      </c>
      <c r="H88" s="95">
        <v>2</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0</v>
      </c>
      <c r="G90" s="11" t="s">
        <v>34</v>
      </c>
      <c r="H90" s="99">
        <v>2</v>
      </c>
      <c r="I90" s="86" t="s">
        <v>124</v>
      </c>
      <c r="J90" s="64" t="s">
        <v>67</v>
      </c>
    </row>
    <row r="91" spans="1:10" ht="19.5" customHeight="1" x14ac:dyDescent="0.25">
      <c r="A91" s="56">
        <v>68</v>
      </c>
      <c r="B91" s="7" t="s">
        <v>149</v>
      </c>
      <c r="C91" s="61">
        <v>0.75</v>
      </c>
      <c r="D91" s="57" t="s">
        <v>123</v>
      </c>
      <c r="E91" s="85" t="s">
        <v>125</v>
      </c>
      <c r="F91" s="99">
        <v>2</v>
      </c>
      <c r="G91" s="11" t="s">
        <v>34</v>
      </c>
      <c r="H91" s="99">
        <v>0</v>
      </c>
      <c r="I91" s="86" t="s">
        <v>126</v>
      </c>
      <c r="J91" s="64" t="s">
        <v>86</v>
      </c>
    </row>
    <row r="92" spans="1:10" ht="19.5" customHeight="1" x14ac:dyDescent="0.25">
      <c r="A92" s="52">
        <v>69</v>
      </c>
      <c r="B92" s="7" t="s">
        <v>149</v>
      </c>
      <c r="C92" s="61">
        <v>0.85416666666666663</v>
      </c>
      <c r="D92" s="53" t="s">
        <v>120</v>
      </c>
      <c r="E92" s="83" t="s">
        <v>129</v>
      </c>
      <c r="F92" s="98">
        <v>2</v>
      </c>
      <c r="G92" s="11" t="s">
        <v>34</v>
      </c>
      <c r="H92" s="98">
        <v>2</v>
      </c>
      <c r="I92" s="84" t="s">
        <v>121</v>
      </c>
      <c r="J92" s="64" t="s">
        <v>102</v>
      </c>
    </row>
    <row r="93" spans="1:10" ht="19.5" customHeight="1" x14ac:dyDescent="0.25">
      <c r="A93" s="52">
        <v>70</v>
      </c>
      <c r="B93" s="7" t="s">
        <v>149</v>
      </c>
      <c r="C93" s="61">
        <v>0.85416666666666663</v>
      </c>
      <c r="D93" s="53" t="s">
        <v>120</v>
      </c>
      <c r="E93" s="83" t="s">
        <v>122</v>
      </c>
      <c r="F93" s="98">
        <v>1</v>
      </c>
      <c r="G93" s="11" t="s">
        <v>34</v>
      </c>
      <c r="H93" s="98">
        <v>1</v>
      </c>
      <c r="I93" s="84" t="s">
        <v>128</v>
      </c>
      <c r="J93" s="64" t="s">
        <v>95</v>
      </c>
    </row>
    <row r="94" spans="1:10" ht="19.5" customHeight="1" x14ac:dyDescent="0.25">
      <c r="A94" s="48">
        <v>71</v>
      </c>
      <c r="B94" s="7" t="s">
        <v>149</v>
      </c>
      <c r="C94" s="61">
        <v>0.95833333333333337</v>
      </c>
      <c r="D94" s="49" t="s">
        <v>112</v>
      </c>
      <c r="E94" s="81" t="s">
        <v>114</v>
      </c>
      <c r="F94" s="97">
        <v>1</v>
      </c>
      <c r="G94" s="11" t="s">
        <v>34</v>
      </c>
      <c r="H94" s="97">
        <v>3</v>
      </c>
      <c r="I94" s="82" t="s">
        <v>118</v>
      </c>
      <c r="J94" s="64" t="s">
        <v>115</v>
      </c>
    </row>
    <row r="95" spans="1:10" ht="19.5" customHeight="1" x14ac:dyDescent="0.25">
      <c r="A95" s="48">
        <v>72</v>
      </c>
      <c r="B95" s="7" t="s">
        <v>149</v>
      </c>
      <c r="C95" s="61">
        <v>0.95833333333333337</v>
      </c>
      <c r="D95" s="49" t="s">
        <v>112</v>
      </c>
      <c r="E95" s="81" t="s">
        <v>119</v>
      </c>
      <c r="F95" s="97">
        <v>0</v>
      </c>
      <c r="G95" s="11" t="s">
        <v>34</v>
      </c>
      <c r="H95" s="97">
        <v>3</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3"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2"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11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J1000"/>
  <sheetViews>
    <sheetView topLeftCell="A32" zoomScaleNormal="100" workbookViewId="0">
      <selection activeCell="F44" sqref="F44"/>
    </sheetView>
  </sheetViews>
  <sheetFormatPr defaultColWidth="14.42578125" defaultRowHeight="15" x14ac:dyDescent="0.25"/>
  <cols>
    <col min="1" max="1" width="5" customWidth="1"/>
    <col min="2" max="3" width="13" customWidth="1"/>
    <col min="4" max="4" width="11.5703125" customWidth="1"/>
    <col min="5" max="5" width="22" customWidth="1"/>
    <col min="6" max="6" width="7" customWidth="1"/>
    <col min="7" max="7" width="4" customWidth="1"/>
    <col min="8" max="8" width="7" customWidth="1"/>
    <col min="9" max="9" width="22" customWidth="1"/>
    <col min="10" max="10" width="33" customWidth="1"/>
    <col min="11" max="27" width="8.7109375" customWidth="1"/>
  </cols>
  <sheetData>
    <row r="1" spans="1:10" ht="43.5" customHeight="1" x14ac:dyDescent="0.25">
      <c r="A1" s="108" t="s">
        <v>150</v>
      </c>
      <c r="B1" s="102"/>
      <c r="C1" s="102"/>
      <c r="D1" s="102"/>
      <c r="E1" s="102"/>
      <c r="F1" s="102"/>
      <c r="G1" s="102"/>
      <c r="H1" s="102"/>
      <c r="I1" s="102"/>
      <c r="J1" s="102"/>
    </row>
    <row r="2" spans="1:10" ht="27.75" customHeight="1" x14ac:dyDescent="0.25">
      <c r="A2" s="110" t="s">
        <v>151</v>
      </c>
      <c r="B2" s="111"/>
      <c r="C2" s="111"/>
      <c r="D2" s="111"/>
      <c r="E2" s="105" t="s">
        <v>26</v>
      </c>
      <c r="F2" s="106"/>
      <c r="G2" s="106"/>
      <c r="H2" s="106"/>
      <c r="I2" s="106"/>
      <c r="J2" s="106"/>
    </row>
    <row r="3" spans="1:10" ht="18" customHeight="1" x14ac:dyDescent="0.25">
      <c r="A3" s="109" t="s">
        <v>153</v>
      </c>
      <c r="B3" s="102"/>
      <c r="C3" s="102"/>
      <c r="D3" s="102"/>
      <c r="E3" s="102"/>
      <c r="F3" s="102"/>
      <c r="G3" s="102"/>
      <c r="H3" s="102"/>
      <c r="I3" s="102"/>
      <c r="J3" s="102"/>
    </row>
    <row r="4" spans="1:10" ht="21.75" customHeight="1" x14ac:dyDescent="0.25">
      <c r="A4" s="113" t="s">
        <v>154</v>
      </c>
      <c r="B4" s="102"/>
      <c r="C4" s="102"/>
      <c r="D4" s="102"/>
      <c r="E4" s="102"/>
      <c r="F4" s="102"/>
      <c r="G4" s="102"/>
      <c r="H4" s="102"/>
      <c r="I4" s="102"/>
      <c r="J4" s="102"/>
    </row>
    <row r="5" spans="1:10" ht="6" customHeight="1" x14ac:dyDescent="0.25">
      <c r="A5" s="4"/>
      <c r="B5" s="4"/>
      <c r="C5" s="4"/>
      <c r="D5" s="4"/>
      <c r="E5" s="4"/>
      <c r="F5" s="4"/>
      <c r="G5" s="4"/>
      <c r="H5" s="4"/>
      <c r="I5" s="4"/>
      <c r="J5" s="4"/>
    </row>
    <row r="6" spans="1:10" ht="21.75" customHeight="1" x14ac:dyDescent="0.25">
      <c r="A6" s="60" t="s">
        <v>29</v>
      </c>
      <c r="B6" s="60" t="s">
        <v>30</v>
      </c>
      <c r="C6" s="60" t="s">
        <v>155</v>
      </c>
      <c r="D6" s="60" t="s">
        <v>31</v>
      </c>
      <c r="E6" s="60" t="s">
        <v>32</v>
      </c>
      <c r="F6" s="60" t="s">
        <v>33</v>
      </c>
      <c r="G6" s="60" t="s">
        <v>156</v>
      </c>
      <c r="H6" s="60" t="s">
        <v>35</v>
      </c>
      <c r="I6" s="60" t="s">
        <v>36</v>
      </c>
      <c r="J6" s="60" t="s">
        <v>39</v>
      </c>
    </row>
    <row r="7" spans="1:10" ht="15.75" customHeight="1" x14ac:dyDescent="0.25">
      <c r="A7" s="107" t="s">
        <v>157</v>
      </c>
      <c r="B7" s="102"/>
      <c r="C7" s="102"/>
      <c r="D7" s="102"/>
      <c r="E7" s="102"/>
      <c r="F7" s="102"/>
      <c r="G7" s="102"/>
      <c r="H7" s="102"/>
      <c r="I7" s="102"/>
      <c r="J7" s="102"/>
    </row>
    <row r="8" spans="1:10" ht="19.5" customHeight="1" x14ac:dyDescent="0.25">
      <c r="A8" s="6">
        <v>1</v>
      </c>
      <c r="B8" s="7" t="s">
        <v>41</v>
      </c>
      <c r="C8" s="61">
        <v>0.66666666666666663</v>
      </c>
      <c r="D8" s="8" t="s">
        <v>42</v>
      </c>
      <c r="E8" s="62" t="s">
        <v>43</v>
      </c>
      <c r="F8" s="88"/>
      <c r="G8" s="11" t="s">
        <v>34</v>
      </c>
      <c r="H8" s="88"/>
      <c r="I8" s="63" t="s">
        <v>44</v>
      </c>
      <c r="J8" s="64" t="s">
        <v>45</v>
      </c>
    </row>
    <row r="9" spans="1:10" ht="19.5" customHeight="1" x14ac:dyDescent="0.25">
      <c r="A9" s="6">
        <v>2</v>
      </c>
      <c r="B9" s="7" t="s">
        <v>41</v>
      </c>
      <c r="C9" s="61">
        <v>0.95833333333333337</v>
      </c>
      <c r="D9" s="8" t="s">
        <v>42</v>
      </c>
      <c r="E9" s="62" t="s">
        <v>46</v>
      </c>
      <c r="F9" s="88">
        <v>0</v>
      </c>
      <c r="G9" s="11" t="s">
        <v>34</v>
      </c>
      <c r="H9" s="88">
        <v>1</v>
      </c>
      <c r="I9" s="63" t="s">
        <v>47</v>
      </c>
      <c r="J9" s="64" t="s">
        <v>48</v>
      </c>
    </row>
    <row r="10" spans="1:10" ht="15.75" customHeight="1" x14ac:dyDescent="0.25">
      <c r="A10" s="107" t="s">
        <v>158</v>
      </c>
      <c r="B10" s="102"/>
      <c r="C10" s="102"/>
      <c r="D10" s="102"/>
      <c r="E10" s="102"/>
      <c r="F10" s="102"/>
      <c r="G10" s="102"/>
      <c r="H10" s="102"/>
      <c r="I10" s="102"/>
      <c r="J10" s="102"/>
    </row>
    <row r="11" spans="1:10" ht="19.5" customHeight="1" x14ac:dyDescent="0.25">
      <c r="A11" s="16">
        <v>3</v>
      </c>
      <c r="B11" s="7" t="s">
        <v>50</v>
      </c>
      <c r="C11" s="61">
        <v>0.66666666666666663</v>
      </c>
      <c r="D11" s="17" t="s">
        <v>51</v>
      </c>
      <c r="E11" s="65" t="s">
        <v>52</v>
      </c>
      <c r="F11" s="89">
        <v>2</v>
      </c>
      <c r="G11" s="11" t="s">
        <v>34</v>
      </c>
      <c r="H11" s="89">
        <v>1</v>
      </c>
      <c r="I11" s="66" t="s">
        <v>53</v>
      </c>
      <c r="J11" s="64" t="s">
        <v>54</v>
      </c>
    </row>
    <row r="12" spans="1:10" ht="19.5" customHeight="1" x14ac:dyDescent="0.25">
      <c r="A12" s="20">
        <v>4</v>
      </c>
      <c r="B12" s="7" t="s">
        <v>50</v>
      </c>
      <c r="C12" s="61">
        <v>0.66666666666666663</v>
      </c>
      <c r="D12" s="21" t="s">
        <v>55</v>
      </c>
      <c r="E12" s="67" t="s">
        <v>56</v>
      </c>
      <c r="F12" s="90">
        <v>3</v>
      </c>
      <c r="G12" s="11" t="s">
        <v>34</v>
      </c>
      <c r="H12" s="90">
        <v>0</v>
      </c>
      <c r="I12" s="68" t="s">
        <v>57</v>
      </c>
      <c r="J12" s="64" t="s">
        <v>58</v>
      </c>
    </row>
    <row r="13" spans="1:10" ht="15.75" customHeight="1" x14ac:dyDescent="0.25">
      <c r="A13" s="107" t="s">
        <v>159</v>
      </c>
      <c r="B13" s="102"/>
      <c r="C13" s="102"/>
      <c r="D13" s="102"/>
      <c r="E13" s="102"/>
      <c r="F13" s="102"/>
      <c r="G13" s="102"/>
      <c r="H13" s="102"/>
      <c r="I13" s="102"/>
      <c r="J13" s="102"/>
    </row>
    <row r="14" spans="1:10" ht="19.5" customHeight="1" x14ac:dyDescent="0.25">
      <c r="A14" s="24">
        <v>5</v>
      </c>
      <c r="B14" s="7" t="s">
        <v>60</v>
      </c>
      <c r="C14" s="61">
        <v>0.91666666666666663</v>
      </c>
      <c r="D14" s="25" t="s">
        <v>61</v>
      </c>
      <c r="E14" s="69" t="s">
        <v>62</v>
      </c>
      <c r="F14" s="91">
        <v>0</v>
      </c>
      <c r="G14" s="11" t="s">
        <v>34</v>
      </c>
      <c r="H14" s="91">
        <v>2</v>
      </c>
      <c r="I14" s="70" t="s">
        <v>63</v>
      </c>
      <c r="J14" s="64" t="s">
        <v>64</v>
      </c>
    </row>
    <row r="15" spans="1:10" ht="19.5" customHeight="1" x14ac:dyDescent="0.25">
      <c r="A15" s="24">
        <v>6</v>
      </c>
      <c r="B15" s="7" t="s">
        <v>60</v>
      </c>
      <c r="C15" s="61">
        <v>0.79166666666666663</v>
      </c>
      <c r="D15" s="25" t="s">
        <v>61</v>
      </c>
      <c r="E15" s="69" t="s">
        <v>65</v>
      </c>
      <c r="F15" s="91">
        <v>1</v>
      </c>
      <c r="G15" s="11" t="s">
        <v>34</v>
      </c>
      <c r="H15" s="91">
        <v>0</v>
      </c>
      <c r="I15" s="70" t="s">
        <v>66</v>
      </c>
      <c r="J15" s="64" t="s">
        <v>67</v>
      </c>
    </row>
    <row r="16" spans="1:10" ht="19.5" customHeight="1" x14ac:dyDescent="0.25">
      <c r="A16" s="16">
        <v>7</v>
      </c>
      <c r="B16" s="7" t="s">
        <v>60</v>
      </c>
      <c r="C16" s="61">
        <v>0.66666666666666663</v>
      </c>
      <c r="D16" s="17" t="s">
        <v>51</v>
      </c>
      <c r="E16" s="65" t="s">
        <v>68</v>
      </c>
      <c r="F16" s="89">
        <v>0</v>
      </c>
      <c r="G16" s="11" t="s">
        <v>34</v>
      </c>
      <c r="H16" s="89">
        <v>2</v>
      </c>
      <c r="I16" s="66" t="s">
        <v>69</v>
      </c>
      <c r="J16" s="64" t="s">
        <v>70</v>
      </c>
    </row>
    <row r="17" spans="1:10" ht="15.75" customHeight="1" x14ac:dyDescent="0.25">
      <c r="A17" s="107" t="s">
        <v>160</v>
      </c>
      <c r="B17" s="102"/>
      <c r="C17" s="102"/>
      <c r="D17" s="102"/>
      <c r="E17" s="102"/>
      <c r="F17" s="102"/>
      <c r="G17" s="102"/>
      <c r="H17" s="102"/>
      <c r="I17" s="102"/>
      <c r="J17" s="102"/>
    </row>
    <row r="18" spans="1:10" ht="19.5" customHeight="1" x14ac:dyDescent="0.25">
      <c r="A18" s="20">
        <v>8</v>
      </c>
      <c r="B18" s="7" t="s">
        <v>72</v>
      </c>
      <c r="C18" s="61">
        <v>4.1666666666666657E-2</v>
      </c>
      <c r="D18" s="21" t="s">
        <v>55</v>
      </c>
      <c r="E18" s="67" t="s">
        <v>73</v>
      </c>
      <c r="F18" s="90">
        <v>1</v>
      </c>
      <c r="G18" s="11" t="s">
        <v>34</v>
      </c>
      <c r="H18" s="90">
        <v>1</v>
      </c>
      <c r="I18" s="68" t="s">
        <v>74</v>
      </c>
      <c r="J18" s="64" t="s">
        <v>75</v>
      </c>
    </row>
    <row r="19" spans="1:10" ht="19.5" customHeight="1" x14ac:dyDescent="0.25">
      <c r="A19" s="28">
        <v>9</v>
      </c>
      <c r="B19" s="7" t="s">
        <v>72</v>
      </c>
      <c r="C19" s="61">
        <v>0.58333333333333337</v>
      </c>
      <c r="D19" s="29" t="s">
        <v>76</v>
      </c>
      <c r="E19" s="71" t="s">
        <v>77</v>
      </c>
      <c r="F19" s="92">
        <v>3</v>
      </c>
      <c r="G19" s="11" t="s">
        <v>34</v>
      </c>
      <c r="H19" s="92">
        <v>1</v>
      </c>
      <c r="I19" s="72" t="s">
        <v>78</v>
      </c>
      <c r="J19" s="64" t="s">
        <v>79</v>
      </c>
    </row>
    <row r="20" spans="1:10" ht="19.5" customHeight="1" x14ac:dyDescent="0.25">
      <c r="A20" s="32">
        <v>10</v>
      </c>
      <c r="B20" s="7" t="s">
        <v>72</v>
      </c>
      <c r="C20" s="61">
        <v>0.70833333333333337</v>
      </c>
      <c r="D20" s="33" t="s">
        <v>80</v>
      </c>
      <c r="E20" s="73" t="s">
        <v>81</v>
      </c>
      <c r="F20" s="93">
        <v>2</v>
      </c>
      <c r="G20" s="11" t="s">
        <v>34</v>
      </c>
      <c r="H20" s="93">
        <v>0</v>
      </c>
      <c r="I20" s="74" t="s">
        <v>82</v>
      </c>
      <c r="J20" s="64" t="s">
        <v>83</v>
      </c>
    </row>
    <row r="21" spans="1:10" ht="19.5" customHeight="1" x14ac:dyDescent="0.25">
      <c r="A21" s="28">
        <v>11</v>
      </c>
      <c r="B21" s="7" t="s">
        <v>72</v>
      </c>
      <c r="C21" s="61">
        <v>0.83333333333333337</v>
      </c>
      <c r="D21" s="29" t="s">
        <v>76</v>
      </c>
      <c r="E21" s="71" t="s">
        <v>84</v>
      </c>
      <c r="F21" s="92">
        <v>1</v>
      </c>
      <c r="G21" s="11" t="s">
        <v>34</v>
      </c>
      <c r="H21" s="92">
        <v>2</v>
      </c>
      <c r="I21" s="72" t="s">
        <v>85</v>
      </c>
      <c r="J21" s="64" t="s">
        <v>86</v>
      </c>
    </row>
    <row r="22" spans="1:10" ht="19.5" customHeight="1" x14ac:dyDescent="0.25">
      <c r="A22" s="32">
        <v>12</v>
      </c>
      <c r="B22" s="7" t="s">
        <v>72</v>
      </c>
      <c r="C22" s="61">
        <v>0.95833333333333337</v>
      </c>
      <c r="D22" s="33" t="s">
        <v>80</v>
      </c>
      <c r="E22" s="73" t="s">
        <v>87</v>
      </c>
      <c r="F22" s="93">
        <v>1</v>
      </c>
      <c r="G22" s="11" t="s">
        <v>34</v>
      </c>
      <c r="H22" s="93">
        <v>0</v>
      </c>
      <c r="I22" s="74" t="s">
        <v>88</v>
      </c>
      <c r="J22" s="64" t="s">
        <v>89</v>
      </c>
    </row>
    <row r="23" spans="1:10" ht="15.75" customHeight="1" x14ac:dyDescent="0.25">
      <c r="A23" s="107" t="s">
        <v>161</v>
      </c>
      <c r="B23" s="102"/>
      <c r="C23" s="102"/>
      <c r="D23" s="102"/>
      <c r="E23" s="102"/>
      <c r="F23" s="102"/>
      <c r="G23" s="102"/>
      <c r="H23" s="102"/>
      <c r="I23" s="102"/>
      <c r="J23" s="102"/>
    </row>
    <row r="24" spans="1:10" ht="19.5" customHeight="1" x14ac:dyDescent="0.25">
      <c r="A24" s="36">
        <v>13</v>
      </c>
      <c r="B24" s="7" t="s">
        <v>91</v>
      </c>
      <c r="C24" s="61">
        <v>0.54166666666666663</v>
      </c>
      <c r="D24" s="37" t="s">
        <v>92</v>
      </c>
      <c r="E24" s="75" t="s">
        <v>93</v>
      </c>
      <c r="F24" s="94">
        <v>5</v>
      </c>
      <c r="G24" s="11" t="s">
        <v>34</v>
      </c>
      <c r="H24" s="94">
        <v>0</v>
      </c>
      <c r="I24" s="76" t="s">
        <v>94</v>
      </c>
      <c r="J24" s="64" t="s">
        <v>95</v>
      </c>
    </row>
    <row r="25" spans="1:10" ht="19.5" customHeight="1" x14ac:dyDescent="0.25">
      <c r="A25" s="40">
        <v>14</v>
      </c>
      <c r="B25" s="7" t="s">
        <v>91</v>
      </c>
      <c r="C25" s="61">
        <v>0.66666666666666663</v>
      </c>
      <c r="D25" s="41" t="s">
        <v>96</v>
      </c>
      <c r="E25" s="77" t="s">
        <v>97</v>
      </c>
      <c r="F25" s="95">
        <v>1</v>
      </c>
      <c r="G25" s="11" t="s">
        <v>34</v>
      </c>
      <c r="H25" s="95">
        <v>2</v>
      </c>
      <c r="I25" s="78" t="s">
        <v>98</v>
      </c>
      <c r="J25" s="64" t="s">
        <v>99</v>
      </c>
    </row>
    <row r="26" spans="1:10" ht="19.5" customHeight="1" x14ac:dyDescent="0.25">
      <c r="A26" s="36">
        <v>15</v>
      </c>
      <c r="B26" s="7" t="s">
        <v>91</v>
      </c>
      <c r="C26" s="61">
        <v>0.79166666666666663</v>
      </c>
      <c r="D26" s="37" t="s">
        <v>92</v>
      </c>
      <c r="E26" s="75" t="s">
        <v>100</v>
      </c>
      <c r="F26" s="94">
        <v>0</v>
      </c>
      <c r="G26" s="11" t="s">
        <v>34</v>
      </c>
      <c r="H26" s="94">
        <v>1</v>
      </c>
      <c r="I26" s="76" t="s">
        <v>101</v>
      </c>
      <c r="J26" s="64" t="s">
        <v>102</v>
      </c>
    </row>
    <row r="27" spans="1:10" ht="19.5" customHeight="1" x14ac:dyDescent="0.25">
      <c r="A27" s="40">
        <v>16</v>
      </c>
      <c r="B27" s="7" t="s">
        <v>91</v>
      </c>
      <c r="C27" s="61">
        <v>0.91666666666666663</v>
      </c>
      <c r="D27" s="41" t="s">
        <v>96</v>
      </c>
      <c r="E27" s="77" t="s">
        <v>103</v>
      </c>
      <c r="F27" s="95">
        <v>0</v>
      </c>
      <c r="G27" s="11" t="s">
        <v>34</v>
      </c>
      <c r="H27" s="95">
        <v>3</v>
      </c>
      <c r="I27" s="78" t="s">
        <v>104</v>
      </c>
      <c r="J27" s="64" t="s">
        <v>58</v>
      </c>
    </row>
    <row r="28" spans="1:10" ht="15.75" customHeight="1" x14ac:dyDescent="0.25">
      <c r="A28" s="107" t="s">
        <v>162</v>
      </c>
      <c r="B28" s="102"/>
      <c r="C28" s="102"/>
      <c r="D28" s="102"/>
      <c r="E28" s="102"/>
      <c r="F28" s="102"/>
      <c r="G28" s="102"/>
      <c r="H28" s="102"/>
      <c r="I28" s="102"/>
      <c r="J28" s="102"/>
    </row>
    <row r="29" spans="1:10" ht="19.5" customHeight="1" x14ac:dyDescent="0.25">
      <c r="A29" s="44">
        <v>17</v>
      </c>
      <c r="B29" s="7" t="s">
        <v>106</v>
      </c>
      <c r="C29" s="61">
        <v>0.66666666666666663</v>
      </c>
      <c r="D29" s="45" t="s">
        <v>107</v>
      </c>
      <c r="E29" s="79" t="s">
        <v>108</v>
      </c>
      <c r="F29" s="96">
        <v>3</v>
      </c>
      <c r="G29" s="11" t="s">
        <v>34</v>
      </c>
      <c r="H29" s="96">
        <v>0</v>
      </c>
      <c r="I29" s="80" t="s">
        <v>109</v>
      </c>
      <c r="J29" s="64" t="s">
        <v>67</v>
      </c>
    </row>
    <row r="30" spans="1:10" ht="19.5" customHeight="1" x14ac:dyDescent="0.25">
      <c r="A30" s="44">
        <v>18</v>
      </c>
      <c r="B30" s="7" t="s">
        <v>106</v>
      </c>
      <c r="C30" s="61">
        <v>0.79166666666666663</v>
      </c>
      <c r="D30" s="45" t="s">
        <v>107</v>
      </c>
      <c r="E30" s="79" t="s">
        <v>110</v>
      </c>
      <c r="F30" s="96">
        <v>0</v>
      </c>
      <c r="G30" s="11" t="s">
        <v>34</v>
      </c>
      <c r="H30" s="96">
        <v>2</v>
      </c>
      <c r="I30" s="80" t="s">
        <v>111</v>
      </c>
      <c r="J30" s="64" t="s">
        <v>64</v>
      </c>
    </row>
    <row r="31" spans="1:10" ht="19.5" customHeight="1" x14ac:dyDescent="0.25">
      <c r="A31" s="48">
        <v>19</v>
      </c>
      <c r="B31" s="7" t="s">
        <v>106</v>
      </c>
      <c r="C31" s="61">
        <v>0.91666666666666663</v>
      </c>
      <c r="D31" s="49" t="s">
        <v>112</v>
      </c>
      <c r="E31" s="81" t="s">
        <v>113</v>
      </c>
      <c r="F31" s="97">
        <v>2</v>
      </c>
      <c r="G31" s="11" t="s">
        <v>34</v>
      </c>
      <c r="H31" s="97">
        <v>0</v>
      </c>
      <c r="I31" s="82" t="s">
        <v>114</v>
      </c>
      <c r="J31" s="64" t="s">
        <v>115</v>
      </c>
    </row>
    <row r="32" spans="1:10" ht="15.75" customHeight="1" x14ac:dyDescent="0.25">
      <c r="A32" s="107" t="s">
        <v>163</v>
      </c>
      <c r="B32" s="102"/>
      <c r="C32" s="102"/>
      <c r="D32" s="102"/>
      <c r="E32" s="102"/>
      <c r="F32" s="102"/>
      <c r="G32" s="102"/>
      <c r="H32" s="102"/>
      <c r="I32" s="102"/>
      <c r="J32" s="102"/>
    </row>
    <row r="33" spans="1:10" ht="19.5" customHeight="1" x14ac:dyDescent="0.25">
      <c r="A33" s="48">
        <v>20</v>
      </c>
      <c r="B33" s="7" t="s">
        <v>117</v>
      </c>
      <c r="C33" s="61">
        <v>4.1666666666666657E-2</v>
      </c>
      <c r="D33" s="49" t="s">
        <v>112</v>
      </c>
      <c r="E33" s="81" t="s">
        <v>118</v>
      </c>
      <c r="F33" s="97">
        <v>2</v>
      </c>
      <c r="G33" s="11" t="s">
        <v>34</v>
      </c>
      <c r="H33" s="97">
        <v>0</v>
      </c>
      <c r="I33" s="82" t="s">
        <v>119</v>
      </c>
      <c r="J33" s="64" t="s">
        <v>70</v>
      </c>
    </row>
    <row r="34" spans="1:10" ht="19.5" customHeight="1" x14ac:dyDescent="0.25">
      <c r="A34" s="52">
        <v>21</v>
      </c>
      <c r="B34" s="7" t="s">
        <v>117</v>
      </c>
      <c r="C34" s="61">
        <v>0.58333333333333337</v>
      </c>
      <c r="D34" s="53" t="s">
        <v>120</v>
      </c>
      <c r="E34" s="83" t="s">
        <v>121</v>
      </c>
      <c r="F34" s="98">
        <v>3</v>
      </c>
      <c r="G34" s="11" t="s">
        <v>34</v>
      </c>
      <c r="H34" s="98">
        <v>0</v>
      </c>
      <c r="I34" s="84" t="s">
        <v>122</v>
      </c>
      <c r="J34" s="64" t="s">
        <v>79</v>
      </c>
    </row>
    <row r="35" spans="1:10" ht="19.5" customHeight="1" x14ac:dyDescent="0.25">
      <c r="A35" s="56">
        <v>22</v>
      </c>
      <c r="B35" s="7" t="s">
        <v>117</v>
      </c>
      <c r="C35" s="61">
        <v>0.70833333333333337</v>
      </c>
      <c r="D35" s="57" t="s">
        <v>123</v>
      </c>
      <c r="E35" s="85" t="s">
        <v>124</v>
      </c>
      <c r="F35" s="99">
        <v>2</v>
      </c>
      <c r="G35" s="11" t="s">
        <v>34</v>
      </c>
      <c r="H35" s="99">
        <v>1</v>
      </c>
      <c r="I35" s="86" t="s">
        <v>125</v>
      </c>
      <c r="J35" s="64" t="s">
        <v>83</v>
      </c>
    </row>
    <row r="36" spans="1:10" ht="19.5" customHeight="1" x14ac:dyDescent="0.25">
      <c r="A36" s="56">
        <v>23</v>
      </c>
      <c r="B36" s="7" t="s">
        <v>117</v>
      </c>
      <c r="C36" s="61">
        <v>0.83333333333333337</v>
      </c>
      <c r="D36" s="57" t="s">
        <v>123</v>
      </c>
      <c r="E36" s="85" t="s">
        <v>126</v>
      </c>
      <c r="F36" s="99">
        <v>1</v>
      </c>
      <c r="G36" s="11" t="s">
        <v>34</v>
      </c>
      <c r="H36" s="99">
        <v>1</v>
      </c>
      <c r="I36" s="86" t="s">
        <v>127</v>
      </c>
      <c r="J36" s="64" t="s">
        <v>54</v>
      </c>
    </row>
    <row r="37" spans="1:10" ht="19.5" customHeight="1" x14ac:dyDescent="0.25">
      <c r="A37" s="52">
        <v>24</v>
      </c>
      <c r="B37" s="7" t="s">
        <v>117</v>
      </c>
      <c r="C37" s="61">
        <v>0.95833333333333337</v>
      </c>
      <c r="D37" s="53" t="s">
        <v>120</v>
      </c>
      <c r="E37" s="83" t="s">
        <v>128</v>
      </c>
      <c r="F37" s="98">
        <v>2</v>
      </c>
      <c r="G37" s="11" t="s">
        <v>34</v>
      </c>
      <c r="H37" s="98">
        <v>0</v>
      </c>
      <c r="I37" s="84" t="s">
        <v>129</v>
      </c>
      <c r="J37" s="64" t="s">
        <v>45</v>
      </c>
    </row>
    <row r="38" spans="1:10" ht="15.75" customHeight="1" x14ac:dyDescent="0.25">
      <c r="A38" s="107" t="s">
        <v>164</v>
      </c>
      <c r="B38" s="102"/>
      <c r="C38" s="102"/>
      <c r="D38" s="102"/>
      <c r="E38" s="102"/>
      <c r="F38" s="102"/>
      <c r="G38" s="102"/>
      <c r="H38" s="102"/>
      <c r="I38" s="102"/>
      <c r="J38" s="102"/>
    </row>
    <row r="39" spans="1:10" ht="19.5" customHeight="1" x14ac:dyDescent="0.25">
      <c r="A39" s="6">
        <v>25</v>
      </c>
      <c r="B39" s="7" t="s">
        <v>131</v>
      </c>
      <c r="C39" s="61">
        <v>0.54166666666666663</v>
      </c>
      <c r="D39" s="8" t="s">
        <v>42</v>
      </c>
      <c r="E39" s="62" t="s">
        <v>47</v>
      </c>
      <c r="F39" s="88">
        <v>1</v>
      </c>
      <c r="G39" s="11" t="s">
        <v>34</v>
      </c>
      <c r="H39" s="88">
        <v>0</v>
      </c>
      <c r="I39" s="63" t="s">
        <v>44</v>
      </c>
      <c r="J39" s="64" t="s">
        <v>95</v>
      </c>
    </row>
    <row r="40" spans="1:10" ht="19.5" customHeight="1" x14ac:dyDescent="0.25">
      <c r="A40" s="16">
        <v>26</v>
      </c>
      <c r="B40" s="7" t="s">
        <v>131</v>
      </c>
      <c r="C40" s="61">
        <v>0.66666666666666663</v>
      </c>
      <c r="D40" s="17" t="s">
        <v>51</v>
      </c>
      <c r="E40" s="65" t="s">
        <v>69</v>
      </c>
      <c r="F40" s="89">
        <v>2</v>
      </c>
      <c r="G40" s="11" t="s">
        <v>34</v>
      </c>
      <c r="H40" s="89">
        <v>1</v>
      </c>
      <c r="I40" s="66" t="s">
        <v>53</v>
      </c>
      <c r="J40" s="64" t="s">
        <v>58</v>
      </c>
    </row>
    <row r="41" spans="1:10" ht="19.5" customHeight="1" x14ac:dyDescent="0.25">
      <c r="A41" s="16">
        <v>27</v>
      </c>
      <c r="B41" s="7" t="s">
        <v>131</v>
      </c>
      <c r="C41" s="61">
        <v>0.79166666666666663</v>
      </c>
      <c r="D41" s="17" t="s">
        <v>51</v>
      </c>
      <c r="E41" s="65" t="s">
        <v>52</v>
      </c>
      <c r="F41" s="89">
        <v>2</v>
      </c>
      <c r="G41" s="11" t="s">
        <v>34</v>
      </c>
      <c r="H41" s="89">
        <v>0</v>
      </c>
      <c r="I41" s="66" t="s">
        <v>68</v>
      </c>
      <c r="J41" s="64" t="s">
        <v>75</v>
      </c>
    </row>
    <row r="42" spans="1:10" ht="19.5" customHeight="1" x14ac:dyDescent="0.25">
      <c r="A42" s="6">
        <v>28</v>
      </c>
      <c r="B42" s="7" t="s">
        <v>131</v>
      </c>
      <c r="C42" s="61">
        <v>0.91666666666666663</v>
      </c>
      <c r="D42" s="8" t="s">
        <v>42</v>
      </c>
      <c r="E42" s="62" t="s">
        <v>43</v>
      </c>
      <c r="F42" s="88">
        <v>1</v>
      </c>
      <c r="G42" s="11" t="s">
        <v>34</v>
      </c>
      <c r="H42" s="88">
        <v>1</v>
      </c>
      <c r="I42" s="63" t="s">
        <v>46</v>
      </c>
      <c r="J42" s="64" t="s">
        <v>48</v>
      </c>
    </row>
    <row r="43" spans="1:10" ht="15.75" customHeight="1" x14ac:dyDescent="0.25">
      <c r="A43" s="107" t="s">
        <v>165</v>
      </c>
      <c r="B43" s="102"/>
      <c r="C43" s="102"/>
      <c r="D43" s="102"/>
      <c r="E43" s="102"/>
      <c r="F43" s="102"/>
      <c r="G43" s="102"/>
      <c r="H43" s="102"/>
      <c r="I43" s="102"/>
      <c r="J43" s="102"/>
    </row>
    <row r="44" spans="1:10" ht="19.5" customHeight="1" x14ac:dyDescent="0.25">
      <c r="A44" s="20">
        <v>29</v>
      </c>
      <c r="B44" s="7" t="s">
        <v>133</v>
      </c>
      <c r="C44" s="61">
        <v>0.66666666666666663</v>
      </c>
      <c r="D44" s="21" t="s">
        <v>55</v>
      </c>
      <c r="E44" s="67" t="s">
        <v>56</v>
      </c>
      <c r="F44" s="90">
        <v>2</v>
      </c>
      <c r="G44" s="11" t="s">
        <v>34</v>
      </c>
      <c r="H44" s="90">
        <v>1</v>
      </c>
      <c r="I44" s="68" t="s">
        <v>73</v>
      </c>
      <c r="J44" s="64" t="s">
        <v>99</v>
      </c>
    </row>
    <row r="45" spans="1:10" ht="19.5" customHeight="1" x14ac:dyDescent="0.25">
      <c r="A45" s="24">
        <v>30</v>
      </c>
      <c r="B45" s="7" t="s">
        <v>133</v>
      </c>
      <c r="C45" s="61">
        <v>0.79166666666666663</v>
      </c>
      <c r="D45" s="25" t="s">
        <v>61</v>
      </c>
      <c r="E45" s="69" t="s">
        <v>63</v>
      </c>
      <c r="F45" s="91">
        <v>1</v>
      </c>
      <c r="G45" s="11" t="s">
        <v>34</v>
      </c>
      <c r="H45" s="91">
        <v>0</v>
      </c>
      <c r="I45" s="70" t="s">
        <v>66</v>
      </c>
      <c r="J45" s="64" t="s">
        <v>64</v>
      </c>
    </row>
    <row r="46" spans="1:10" ht="19.5" customHeight="1" x14ac:dyDescent="0.25">
      <c r="A46" s="24">
        <v>31</v>
      </c>
      <c r="B46" s="7" t="s">
        <v>133</v>
      </c>
      <c r="C46" s="61">
        <v>0.89583333333333337</v>
      </c>
      <c r="D46" s="25" t="s">
        <v>61</v>
      </c>
      <c r="E46" s="69" t="s">
        <v>65</v>
      </c>
      <c r="F46" s="91">
        <v>4</v>
      </c>
      <c r="G46" s="11" t="s">
        <v>34</v>
      </c>
      <c r="H46" s="91">
        <v>0</v>
      </c>
      <c r="I46" s="70" t="s">
        <v>62</v>
      </c>
      <c r="J46" s="64" t="s">
        <v>86</v>
      </c>
    </row>
    <row r="47" spans="1:10" ht="19.5" customHeight="1" x14ac:dyDescent="0.25">
      <c r="A47" s="20">
        <v>32</v>
      </c>
      <c r="B47" s="7" t="s">
        <v>133</v>
      </c>
      <c r="C47" s="61">
        <v>0.99930555555555556</v>
      </c>
      <c r="D47" s="21" t="s">
        <v>55</v>
      </c>
      <c r="E47" s="67" t="s">
        <v>74</v>
      </c>
      <c r="F47" s="90">
        <v>2</v>
      </c>
      <c r="G47" s="11" t="s">
        <v>34</v>
      </c>
      <c r="H47" s="90">
        <v>2</v>
      </c>
      <c r="I47" s="68" t="s">
        <v>57</v>
      </c>
      <c r="J47" s="64" t="s">
        <v>70</v>
      </c>
    </row>
    <row r="48" spans="1:10" ht="15.75" customHeight="1" x14ac:dyDescent="0.25">
      <c r="A48" s="107" t="s">
        <v>166</v>
      </c>
      <c r="B48" s="102"/>
      <c r="C48" s="102"/>
      <c r="D48" s="102"/>
      <c r="E48" s="102"/>
      <c r="F48" s="102"/>
      <c r="G48" s="102"/>
      <c r="H48" s="102"/>
      <c r="I48" s="102"/>
      <c r="J48" s="102"/>
    </row>
    <row r="49" spans="1:10" ht="19.5" customHeight="1" x14ac:dyDescent="0.25">
      <c r="A49" s="32">
        <v>33</v>
      </c>
      <c r="B49" s="7" t="s">
        <v>135</v>
      </c>
      <c r="C49" s="61">
        <v>0.58333333333333337</v>
      </c>
      <c r="D49" s="33" t="s">
        <v>80</v>
      </c>
      <c r="E49" s="73" t="s">
        <v>81</v>
      </c>
      <c r="F49" s="93">
        <v>2</v>
      </c>
      <c r="G49" s="11" t="s">
        <v>34</v>
      </c>
      <c r="H49" s="93">
        <v>1</v>
      </c>
      <c r="I49" s="74" t="s">
        <v>87</v>
      </c>
      <c r="J49" s="64" t="s">
        <v>79</v>
      </c>
    </row>
    <row r="50" spans="1:10" ht="19.5" customHeight="1" x14ac:dyDescent="0.25">
      <c r="A50" s="28">
        <v>34</v>
      </c>
      <c r="B50" s="7" t="s">
        <v>135</v>
      </c>
      <c r="C50" s="61">
        <v>0.70833333333333337</v>
      </c>
      <c r="D50" s="29" t="s">
        <v>76</v>
      </c>
      <c r="E50" s="71" t="s">
        <v>77</v>
      </c>
      <c r="F50" s="92">
        <v>3</v>
      </c>
      <c r="G50" s="11" t="s">
        <v>34</v>
      </c>
      <c r="H50" s="92">
        <v>1</v>
      </c>
      <c r="I50" s="72" t="s">
        <v>84</v>
      </c>
      <c r="J50" s="64" t="s">
        <v>54</v>
      </c>
    </row>
    <row r="51" spans="1:10" ht="19.5" customHeight="1" x14ac:dyDescent="0.25">
      <c r="A51" s="28">
        <v>35</v>
      </c>
      <c r="B51" s="7" t="s">
        <v>135</v>
      </c>
      <c r="C51" s="61">
        <v>0.875</v>
      </c>
      <c r="D51" s="29" t="s">
        <v>76</v>
      </c>
      <c r="E51" s="71" t="s">
        <v>85</v>
      </c>
      <c r="F51" s="92">
        <v>2</v>
      </c>
      <c r="G51" s="11" t="s">
        <v>34</v>
      </c>
      <c r="H51" s="92">
        <v>0</v>
      </c>
      <c r="I51" s="72" t="s">
        <v>78</v>
      </c>
      <c r="J51" s="64" t="s">
        <v>115</v>
      </c>
    </row>
    <row r="52" spans="1:10" ht="15.75" customHeight="1" x14ac:dyDescent="0.25">
      <c r="A52" s="107" t="s">
        <v>167</v>
      </c>
      <c r="B52" s="102"/>
      <c r="C52" s="102"/>
      <c r="D52" s="102"/>
      <c r="E52" s="102"/>
      <c r="F52" s="102"/>
      <c r="G52" s="102"/>
      <c r="H52" s="102"/>
      <c r="I52" s="102"/>
      <c r="J52" s="102"/>
    </row>
    <row r="53" spans="1:10" ht="19.5" customHeight="1" x14ac:dyDescent="0.25">
      <c r="A53" s="32">
        <v>36</v>
      </c>
      <c r="B53" s="7" t="s">
        <v>137</v>
      </c>
      <c r="C53" s="61">
        <v>4.1666666666666657E-2</v>
      </c>
      <c r="D53" s="33" t="s">
        <v>80</v>
      </c>
      <c r="E53" s="73" t="s">
        <v>88</v>
      </c>
      <c r="F53" s="93">
        <v>2</v>
      </c>
      <c r="G53" s="11" t="s">
        <v>34</v>
      </c>
      <c r="H53" s="93">
        <v>1</v>
      </c>
      <c r="I53" s="74" t="s">
        <v>82</v>
      </c>
      <c r="J53" s="64" t="s">
        <v>89</v>
      </c>
    </row>
    <row r="54" spans="1:10" ht="19.5" customHeight="1" x14ac:dyDescent="0.25">
      <c r="A54" s="36">
        <v>37</v>
      </c>
      <c r="B54" s="7" t="s">
        <v>137</v>
      </c>
      <c r="C54" s="61">
        <v>0.54166666666666663</v>
      </c>
      <c r="D54" s="37" t="s">
        <v>92</v>
      </c>
      <c r="E54" s="75" t="s">
        <v>93</v>
      </c>
      <c r="F54" s="94">
        <v>3</v>
      </c>
      <c r="G54" s="11" t="s">
        <v>34</v>
      </c>
      <c r="H54" s="94">
        <v>0</v>
      </c>
      <c r="I54" s="76" t="s">
        <v>100</v>
      </c>
      <c r="J54" s="64" t="s">
        <v>95</v>
      </c>
    </row>
    <row r="55" spans="1:10" ht="19.5" customHeight="1" x14ac:dyDescent="0.25">
      <c r="A55" s="40">
        <v>38</v>
      </c>
      <c r="B55" s="7" t="s">
        <v>137</v>
      </c>
      <c r="C55" s="61">
        <v>0.66666666666666663</v>
      </c>
      <c r="D55" s="41" t="s">
        <v>96</v>
      </c>
      <c r="E55" s="77" t="s">
        <v>97</v>
      </c>
      <c r="F55" s="95">
        <v>2</v>
      </c>
      <c r="G55" s="11" t="s">
        <v>34</v>
      </c>
      <c r="H55" s="95">
        <v>1</v>
      </c>
      <c r="I55" s="78" t="s">
        <v>103</v>
      </c>
      <c r="J55" s="64" t="s">
        <v>58</v>
      </c>
    </row>
    <row r="56" spans="1:10" ht="19.5" customHeight="1" x14ac:dyDescent="0.25">
      <c r="A56" s="36">
        <v>39</v>
      </c>
      <c r="B56" s="7" t="s">
        <v>137</v>
      </c>
      <c r="C56" s="61">
        <v>0.79166666666666663</v>
      </c>
      <c r="D56" s="37" t="s">
        <v>92</v>
      </c>
      <c r="E56" s="75" t="s">
        <v>101</v>
      </c>
      <c r="F56" s="94">
        <v>2</v>
      </c>
      <c r="G56" s="11" t="s">
        <v>34</v>
      </c>
      <c r="H56" s="94">
        <v>1</v>
      </c>
      <c r="I56" s="76" t="s">
        <v>94</v>
      </c>
      <c r="J56" s="64" t="s">
        <v>102</v>
      </c>
    </row>
    <row r="57" spans="1:10" ht="19.5" customHeight="1" x14ac:dyDescent="0.25">
      <c r="A57" s="40">
        <v>40</v>
      </c>
      <c r="B57" s="7" t="s">
        <v>137</v>
      </c>
      <c r="C57" s="61">
        <v>0.91666666666666663</v>
      </c>
      <c r="D57" s="41" t="s">
        <v>96</v>
      </c>
      <c r="E57" s="77" t="s">
        <v>104</v>
      </c>
      <c r="F57" s="95">
        <v>1</v>
      </c>
      <c r="G57" s="11" t="s">
        <v>34</v>
      </c>
      <c r="H57" s="95">
        <v>0</v>
      </c>
      <c r="I57" s="78" t="s">
        <v>98</v>
      </c>
      <c r="J57" s="64" t="s">
        <v>75</v>
      </c>
    </row>
    <row r="58" spans="1:10" ht="15.75" customHeight="1" x14ac:dyDescent="0.25">
      <c r="A58" s="107" t="s">
        <v>168</v>
      </c>
      <c r="B58" s="102"/>
      <c r="C58" s="102"/>
      <c r="D58" s="102"/>
      <c r="E58" s="102"/>
      <c r="F58" s="102"/>
      <c r="G58" s="102"/>
      <c r="H58" s="102"/>
      <c r="I58" s="102"/>
      <c r="J58" s="102"/>
    </row>
    <row r="59" spans="1:10" ht="19.5" customHeight="1" x14ac:dyDescent="0.25">
      <c r="A59" s="48">
        <v>41</v>
      </c>
      <c r="B59" s="7" t="s">
        <v>139</v>
      </c>
      <c r="C59" s="61">
        <v>0.58333333333333337</v>
      </c>
      <c r="D59" s="49" t="s">
        <v>112</v>
      </c>
      <c r="E59" s="81" t="s">
        <v>113</v>
      </c>
      <c r="F59" s="97">
        <v>3</v>
      </c>
      <c r="G59" s="11" t="s">
        <v>34</v>
      </c>
      <c r="H59" s="97">
        <v>1</v>
      </c>
      <c r="I59" s="82" t="s">
        <v>118</v>
      </c>
      <c r="J59" s="64" t="s">
        <v>83</v>
      </c>
    </row>
    <row r="60" spans="1:10" ht="19.5" customHeight="1" x14ac:dyDescent="0.25">
      <c r="A60" s="44">
        <v>42</v>
      </c>
      <c r="B60" s="7" t="s">
        <v>139</v>
      </c>
      <c r="C60" s="61">
        <v>0.75</v>
      </c>
      <c r="D60" s="45" t="s">
        <v>107</v>
      </c>
      <c r="E60" s="79" t="s">
        <v>108</v>
      </c>
      <c r="F60" s="96">
        <v>3</v>
      </c>
      <c r="G60" s="11" t="s">
        <v>34</v>
      </c>
      <c r="H60" s="96">
        <v>0</v>
      </c>
      <c r="I60" s="80" t="s">
        <v>110</v>
      </c>
      <c r="J60" s="64" t="s">
        <v>86</v>
      </c>
    </row>
    <row r="61" spans="1:10" ht="19.5" customHeight="1" x14ac:dyDescent="0.25">
      <c r="A61" s="44">
        <v>43</v>
      </c>
      <c r="B61" s="7" t="s">
        <v>139</v>
      </c>
      <c r="C61" s="61">
        <v>0.875</v>
      </c>
      <c r="D61" s="45" t="s">
        <v>107</v>
      </c>
      <c r="E61" s="79" t="s">
        <v>111</v>
      </c>
      <c r="F61" s="96">
        <v>2</v>
      </c>
      <c r="G61" s="11" t="s">
        <v>34</v>
      </c>
      <c r="H61" s="96">
        <v>2</v>
      </c>
      <c r="I61" s="80" t="s">
        <v>109</v>
      </c>
      <c r="J61" s="64" t="s">
        <v>67</v>
      </c>
    </row>
    <row r="62" spans="1:10" ht="19.5" customHeight="1" x14ac:dyDescent="0.25">
      <c r="A62" s="48">
        <v>44</v>
      </c>
      <c r="B62" s="7" t="s">
        <v>139</v>
      </c>
      <c r="C62" s="61">
        <v>0.99930555555555556</v>
      </c>
      <c r="D62" s="49" t="s">
        <v>112</v>
      </c>
      <c r="E62" s="81" t="s">
        <v>119</v>
      </c>
      <c r="F62" s="97">
        <v>2</v>
      </c>
      <c r="G62" s="11" t="s">
        <v>34</v>
      </c>
      <c r="H62" s="97">
        <v>0</v>
      </c>
      <c r="I62" s="82" t="s">
        <v>114</v>
      </c>
      <c r="J62" s="64" t="s">
        <v>70</v>
      </c>
    </row>
    <row r="63" spans="1:10" ht="15.75" customHeight="1" x14ac:dyDescent="0.25">
      <c r="A63" s="107" t="s">
        <v>169</v>
      </c>
      <c r="B63" s="102"/>
      <c r="C63" s="102"/>
      <c r="D63" s="102"/>
      <c r="E63" s="102"/>
      <c r="F63" s="102"/>
      <c r="G63" s="102"/>
      <c r="H63" s="102"/>
      <c r="I63" s="102"/>
      <c r="J63" s="102"/>
    </row>
    <row r="64" spans="1:10" ht="19.5" customHeight="1" x14ac:dyDescent="0.25">
      <c r="A64" s="52">
        <v>45</v>
      </c>
      <c r="B64" s="7" t="s">
        <v>141</v>
      </c>
      <c r="C64" s="61">
        <v>0.58333333333333337</v>
      </c>
      <c r="D64" s="53" t="s">
        <v>120</v>
      </c>
      <c r="E64" s="83" t="s">
        <v>121</v>
      </c>
      <c r="F64" s="98">
        <v>2</v>
      </c>
      <c r="G64" s="11" t="s">
        <v>34</v>
      </c>
      <c r="H64" s="98">
        <v>0</v>
      </c>
      <c r="I64" s="84" t="s">
        <v>128</v>
      </c>
      <c r="J64" s="64" t="s">
        <v>79</v>
      </c>
    </row>
    <row r="65" spans="1:10" ht="19.5" customHeight="1" x14ac:dyDescent="0.25">
      <c r="A65" s="56">
        <v>46</v>
      </c>
      <c r="B65" s="7" t="s">
        <v>141</v>
      </c>
      <c r="C65" s="61">
        <v>0.70833333333333337</v>
      </c>
      <c r="D65" s="57" t="s">
        <v>123</v>
      </c>
      <c r="E65" s="85" t="s">
        <v>124</v>
      </c>
      <c r="F65" s="99">
        <v>2</v>
      </c>
      <c r="G65" s="11" t="s">
        <v>34</v>
      </c>
      <c r="H65" s="99">
        <v>1</v>
      </c>
      <c r="I65" s="86" t="s">
        <v>126</v>
      </c>
      <c r="J65" s="64" t="s">
        <v>64</v>
      </c>
    </row>
    <row r="66" spans="1:10" ht="19.5" customHeight="1" x14ac:dyDescent="0.25">
      <c r="A66" s="56">
        <v>47</v>
      </c>
      <c r="B66" s="7" t="s">
        <v>141</v>
      </c>
      <c r="C66" s="61">
        <v>0.83333333333333337</v>
      </c>
      <c r="D66" s="57" t="s">
        <v>123</v>
      </c>
      <c r="E66" s="85" t="s">
        <v>127</v>
      </c>
      <c r="F66" s="99">
        <v>2</v>
      </c>
      <c r="G66" s="11" t="s">
        <v>34</v>
      </c>
      <c r="H66" s="99">
        <v>0</v>
      </c>
      <c r="I66" s="86" t="s">
        <v>125</v>
      </c>
      <c r="J66" s="64" t="s">
        <v>54</v>
      </c>
    </row>
    <row r="67" spans="1:10" ht="19.5" customHeight="1" x14ac:dyDescent="0.25">
      <c r="A67" s="52">
        <v>48</v>
      </c>
      <c r="B67" s="7" t="s">
        <v>141</v>
      </c>
      <c r="C67" s="61">
        <v>0.95833333333333337</v>
      </c>
      <c r="D67" s="53" t="s">
        <v>120</v>
      </c>
      <c r="E67" s="83" t="s">
        <v>129</v>
      </c>
      <c r="F67" s="98">
        <v>3</v>
      </c>
      <c r="G67" s="11" t="s">
        <v>34</v>
      </c>
      <c r="H67" s="98">
        <v>0</v>
      </c>
      <c r="I67" s="84" t="s">
        <v>122</v>
      </c>
      <c r="J67" s="64" t="s">
        <v>48</v>
      </c>
    </row>
    <row r="68" spans="1:10" ht="15.75" customHeight="1" x14ac:dyDescent="0.25">
      <c r="A68" s="107" t="s">
        <v>170</v>
      </c>
      <c r="B68" s="102"/>
      <c r="C68" s="102"/>
      <c r="D68" s="102"/>
      <c r="E68" s="102"/>
      <c r="F68" s="102"/>
      <c r="G68" s="102"/>
      <c r="H68" s="102"/>
      <c r="I68" s="102"/>
      <c r="J68" s="102"/>
    </row>
    <row r="69" spans="1:10" ht="19.5" customHeight="1" x14ac:dyDescent="0.25">
      <c r="A69" s="16">
        <v>49</v>
      </c>
      <c r="B69" s="7" t="s">
        <v>143</v>
      </c>
      <c r="C69" s="61">
        <v>0.66666666666666663</v>
      </c>
      <c r="D69" s="17" t="s">
        <v>51</v>
      </c>
      <c r="E69" s="65" t="s">
        <v>69</v>
      </c>
      <c r="F69" s="89">
        <v>1</v>
      </c>
      <c r="G69" s="11" t="s">
        <v>34</v>
      </c>
      <c r="H69" s="89">
        <v>1</v>
      </c>
      <c r="I69" s="66" t="s">
        <v>52</v>
      </c>
      <c r="J69" s="64" t="s">
        <v>75</v>
      </c>
    </row>
    <row r="70" spans="1:10" ht="19.5" customHeight="1" x14ac:dyDescent="0.25">
      <c r="A70" s="16">
        <v>50</v>
      </c>
      <c r="B70" s="7" t="s">
        <v>143</v>
      </c>
      <c r="C70" s="61">
        <v>0.66666666666666663</v>
      </c>
      <c r="D70" s="17" t="s">
        <v>51</v>
      </c>
      <c r="E70" s="65" t="s">
        <v>53</v>
      </c>
      <c r="F70" s="89">
        <v>2</v>
      </c>
      <c r="G70" s="11" t="s">
        <v>34</v>
      </c>
      <c r="H70" s="89">
        <v>1</v>
      </c>
      <c r="I70" s="66" t="s">
        <v>68</v>
      </c>
      <c r="J70" s="64" t="s">
        <v>99</v>
      </c>
    </row>
    <row r="71" spans="1:10" ht="19.5" customHeight="1" x14ac:dyDescent="0.25">
      <c r="A71" s="24">
        <v>51</v>
      </c>
      <c r="B71" s="7" t="s">
        <v>143</v>
      </c>
      <c r="C71" s="61">
        <v>0.79166666666666663</v>
      </c>
      <c r="D71" s="25" t="s">
        <v>61</v>
      </c>
      <c r="E71" s="69" t="s">
        <v>63</v>
      </c>
      <c r="F71" s="91">
        <v>0</v>
      </c>
      <c r="G71" s="11" t="s">
        <v>34</v>
      </c>
      <c r="H71" s="91">
        <v>2</v>
      </c>
      <c r="I71" s="70" t="s">
        <v>65</v>
      </c>
      <c r="J71" s="64" t="s">
        <v>102</v>
      </c>
    </row>
    <row r="72" spans="1:10" ht="19.5" customHeight="1" x14ac:dyDescent="0.25">
      <c r="A72" s="24">
        <v>52</v>
      </c>
      <c r="B72" s="7" t="s">
        <v>143</v>
      </c>
      <c r="C72" s="61">
        <v>0.79166666666666663</v>
      </c>
      <c r="D72" s="25" t="s">
        <v>61</v>
      </c>
      <c r="E72" s="69" t="s">
        <v>66</v>
      </c>
      <c r="F72" s="91">
        <v>3</v>
      </c>
      <c r="G72" s="11" t="s">
        <v>34</v>
      </c>
      <c r="H72" s="91">
        <v>0</v>
      </c>
      <c r="I72" s="70" t="s">
        <v>62</v>
      </c>
      <c r="J72" s="64" t="s">
        <v>95</v>
      </c>
    </row>
    <row r="73" spans="1:10" ht="19.5" customHeight="1" x14ac:dyDescent="0.25">
      <c r="A73" s="6">
        <v>53</v>
      </c>
      <c r="B73" s="7" t="s">
        <v>143</v>
      </c>
      <c r="C73" s="61">
        <v>0.91666666666666663</v>
      </c>
      <c r="D73" s="8" t="s">
        <v>42</v>
      </c>
      <c r="E73" s="62" t="s">
        <v>47</v>
      </c>
      <c r="F73" s="88">
        <v>1</v>
      </c>
      <c r="G73" s="11" t="s">
        <v>34</v>
      </c>
      <c r="H73" s="88">
        <v>2</v>
      </c>
      <c r="I73" s="63" t="s">
        <v>43</v>
      </c>
      <c r="J73" s="64" t="s">
        <v>45</v>
      </c>
    </row>
    <row r="74" spans="1:10" ht="19.5" customHeight="1" x14ac:dyDescent="0.25">
      <c r="A74" s="6">
        <v>54</v>
      </c>
      <c r="B74" s="7" t="s">
        <v>143</v>
      </c>
      <c r="C74" s="61">
        <v>0.91666666666666663</v>
      </c>
      <c r="D74" s="8" t="s">
        <v>42</v>
      </c>
      <c r="E74" s="62" t="s">
        <v>44</v>
      </c>
      <c r="F74" s="88">
        <v>0</v>
      </c>
      <c r="G74" s="11" t="s">
        <v>34</v>
      </c>
      <c r="H74" s="88">
        <v>1</v>
      </c>
      <c r="I74" s="63" t="s">
        <v>46</v>
      </c>
      <c r="J74" s="64" t="s">
        <v>89</v>
      </c>
    </row>
    <row r="75" spans="1:10" ht="15.75" customHeight="1" x14ac:dyDescent="0.25">
      <c r="A75" s="107" t="s">
        <v>171</v>
      </c>
      <c r="B75" s="102"/>
      <c r="C75" s="102"/>
      <c r="D75" s="102"/>
      <c r="E75" s="102"/>
      <c r="F75" s="102"/>
      <c r="G75" s="102"/>
      <c r="H75" s="102"/>
      <c r="I75" s="102"/>
      <c r="J75" s="102"/>
    </row>
    <row r="76" spans="1:10" ht="19.5" customHeight="1" x14ac:dyDescent="0.25">
      <c r="A76" s="28">
        <v>55</v>
      </c>
      <c r="B76" s="7" t="s">
        <v>145</v>
      </c>
      <c r="C76" s="61">
        <v>0.70833333333333337</v>
      </c>
      <c r="D76" s="29" t="s">
        <v>76</v>
      </c>
      <c r="E76" s="71" t="s">
        <v>78</v>
      </c>
      <c r="F76" s="92">
        <v>1</v>
      </c>
      <c r="G76" s="11" t="s">
        <v>34</v>
      </c>
      <c r="H76" s="92">
        <v>3</v>
      </c>
      <c r="I76" s="72" t="s">
        <v>84</v>
      </c>
      <c r="J76" s="64" t="s">
        <v>86</v>
      </c>
    </row>
    <row r="77" spans="1:10" ht="19.5" customHeight="1" x14ac:dyDescent="0.25">
      <c r="A77" s="28">
        <v>56</v>
      </c>
      <c r="B77" s="7" t="s">
        <v>145</v>
      </c>
      <c r="C77" s="61">
        <v>0.70833333333333337</v>
      </c>
      <c r="D77" s="29" t="s">
        <v>76</v>
      </c>
      <c r="E77" s="71" t="s">
        <v>85</v>
      </c>
      <c r="F77" s="92">
        <v>1</v>
      </c>
      <c r="G77" s="11" t="s">
        <v>34</v>
      </c>
      <c r="H77" s="92">
        <v>2</v>
      </c>
      <c r="I77" s="72" t="s">
        <v>77</v>
      </c>
      <c r="J77" s="64" t="s">
        <v>67</v>
      </c>
    </row>
    <row r="78" spans="1:10" ht="19.5" customHeight="1" x14ac:dyDescent="0.25">
      <c r="A78" s="32">
        <v>57</v>
      </c>
      <c r="B78" s="7" t="s">
        <v>145</v>
      </c>
      <c r="C78" s="61">
        <v>0.83333333333333337</v>
      </c>
      <c r="D78" s="33" t="s">
        <v>80</v>
      </c>
      <c r="E78" s="73" t="s">
        <v>82</v>
      </c>
      <c r="F78" s="93">
        <v>2</v>
      </c>
      <c r="G78" s="11" t="s">
        <v>34</v>
      </c>
      <c r="H78" s="93">
        <v>1</v>
      </c>
      <c r="I78" s="74" t="s">
        <v>87</v>
      </c>
      <c r="J78" s="64" t="s">
        <v>83</v>
      </c>
    </row>
    <row r="79" spans="1:10" ht="19.5" customHeight="1" x14ac:dyDescent="0.25">
      <c r="A79" s="32">
        <v>58</v>
      </c>
      <c r="B79" s="7" t="s">
        <v>145</v>
      </c>
      <c r="C79" s="61">
        <v>0.83333333333333337</v>
      </c>
      <c r="D79" s="33" t="s">
        <v>80</v>
      </c>
      <c r="E79" s="73" t="s">
        <v>88</v>
      </c>
      <c r="F79" s="93">
        <v>0</v>
      </c>
      <c r="G79" s="11" t="s">
        <v>34</v>
      </c>
      <c r="H79" s="93">
        <v>3</v>
      </c>
      <c r="I79" s="74" t="s">
        <v>81</v>
      </c>
      <c r="J79" s="64" t="s">
        <v>115</v>
      </c>
    </row>
    <row r="80" spans="1:10" ht="19.5" customHeight="1" x14ac:dyDescent="0.25">
      <c r="A80" s="20">
        <v>59</v>
      </c>
      <c r="B80" s="7" t="s">
        <v>145</v>
      </c>
      <c r="C80" s="61">
        <v>0.95833333333333337</v>
      </c>
      <c r="D80" s="21" t="s">
        <v>55</v>
      </c>
      <c r="E80" s="67" t="s">
        <v>74</v>
      </c>
      <c r="F80" s="90">
        <v>1</v>
      </c>
      <c r="G80" s="11" t="s">
        <v>34</v>
      </c>
      <c r="H80" s="90">
        <v>2</v>
      </c>
      <c r="I80" s="68" t="s">
        <v>56</v>
      </c>
      <c r="J80" s="64" t="s">
        <v>58</v>
      </c>
    </row>
    <row r="81" spans="1:10" ht="19.5" customHeight="1" x14ac:dyDescent="0.25">
      <c r="A81" s="20">
        <v>60</v>
      </c>
      <c r="B81" s="7" t="s">
        <v>145</v>
      </c>
      <c r="C81" s="61">
        <v>0.95833333333333337</v>
      </c>
      <c r="D81" s="21" t="s">
        <v>55</v>
      </c>
      <c r="E81" s="67" t="s">
        <v>57</v>
      </c>
      <c r="F81" s="90">
        <v>1</v>
      </c>
      <c r="G81" s="11" t="s">
        <v>34</v>
      </c>
      <c r="H81" s="90">
        <v>0</v>
      </c>
      <c r="I81" s="68" t="s">
        <v>73</v>
      </c>
      <c r="J81" s="64" t="s">
        <v>70</v>
      </c>
    </row>
    <row r="82" spans="1:10" ht="15.75" customHeight="1" x14ac:dyDescent="0.25">
      <c r="A82" s="107" t="s">
        <v>172</v>
      </c>
      <c r="B82" s="102"/>
      <c r="C82" s="102"/>
      <c r="D82" s="102"/>
      <c r="E82" s="102"/>
      <c r="F82" s="102"/>
      <c r="G82" s="102"/>
      <c r="H82" s="102"/>
      <c r="I82" s="102"/>
      <c r="J82" s="102"/>
    </row>
    <row r="83" spans="1:10" ht="19.5" customHeight="1" x14ac:dyDescent="0.25">
      <c r="A83" s="44">
        <v>61</v>
      </c>
      <c r="B83" s="7" t="s">
        <v>147</v>
      </c>
      <c r="C83" s="61">
        <v>0.66666666666666663</v>
      </c>
      <c r="D83" s="45" t="s">
        <v>107</v>
      </c>
      <c r="E83" s="79" t="s">
        <v>111</v>
      </c>
      <c r="F83" s="96">
        <v>1</v>
      </c>
      <c r="G83" s="11" t="s">
        <v>34</v>
      </c>
      <c r="H83" s="96">
        <v>2</v>
      </c>
      <c r="I83" s="80" t="s">
        <v>108</v>
      </c>
      <c r="J83" s="64" t="s">
        <v>64</v>
      </c>
    </row>
    <row r="84" spans="1:10" ht="19.5" customHeight="1" x14ac:dyDescent="0.25">
      <c r="A84" s="44">
        <v>62</v>
      </c>
      <c r="B84" s="7" t="s">
        <v>147</v>
      </c>
      <c r="C84" s="61">
        <v>0.66666666666666663</v>
      </c>
      <c r="D84" s="45" t="s">
        <v>107</v>
      </c>
      <c r="E84" s="79" t="s">
        <v>109</v>
      </c>
      <c r="F84" s="96">
        <v>2</v>
      </c>
      <c r="G84" s="11" t="s">
        <v>34</v>
      </c>
      <c r="H84" s="96">
        <v>0</v>
      </c>
      <c r="I84" s="80" t="s">
        <v>110</v>
      </c>
      <c r="J84" s="64" t="s">
        <v>54</v>
      </c>
    </row>
    <row r="85" spans="1:10" ht="19.5" customHeight="1" x14ac:dyDescent="0.25">
      <c r="A85" s="36">
        <v>63</v>
      </c>
      <c r="B85" s="7" t="s">
        <v>147</v>
      </c>
      <c r="C85" s="61">
        <v>0.875</v>
      </c>
      <c r="D85" s="37" t="s">
        <v>92</v>
      </c>
      <c r="E85" s="75" t="s">
        <v>94</v>
      </c>
      <c r="F85" s="94">
        <v>1</v>
      </c>
      <c r="G85" s="11" t="s">
        <v>34</v>
      </c>
      <c r="H85" s="94">
        <v>1</v>
      </c>
      <c r="I85" s="76" t="s">
        <v>100</v>
      </c>
      <c r="J85" s="64" t="s">
        <v>79</v>
      </c>
    </row>
    <row r="86" spans="1:10" ht="19.5" customHeight="1" x14ac:dyDescent="0.25">
      <c r="A86" s="36">
        <v>64</v>
      </c>
      <c r="B86" s="7" t="s">
        <v>147</v>
      </c>
      <c r="C86" s="61">
        <v>0.875</v>
      </c>
      <c r="D86" s="37" t="s">
        <v>92</v>
      </c>
      <c r="E86" s="75" t="s">
        <v>101</v>
      </c>
      <c r="F86" s="94">
        <v>2</v>
      </c>
      <c r="G86" s="11" t="s">
        <v>34</v>
      </c>
      <c r="H86" s="94">
        <v>2</v>
      </c>
      <c r="I86" s="76" t="s">
        <v>93</v>
      </c>
      <c r="J86" s="64" t="s">
        <v>48</v>
      </c>
    </row>
    <row r="87" spans="1:10" ht="19.5" customHeight="1" x14ac:dyDescent="0.25">
      <c r="A87" s="40">
        <v>65</v>
      </c>
      <c r="B87" s="7" t="s">
        <v>147</v>
      </c>
      <c r="C87" s="61">
        <v>0.99930555555555556</v>
      </c>
      <c r="D87" s="41" t="s">
        <v>96</v>
      </c>
      <c r="E87" s="77" t="s">
        <v>98</v>
      </c>
      <c r="F87" s="95">
        <v>1</v>
      </c>
      <c r="G87" s="11" t="s">
        <v>34</v>
      </c>
      <c r="H87" s="95">
        <v>0</v>
      </c>
      <c r="I87" s="78" t="s">
        <v>103</v>
      </c>
      <c r="J87" s="64" t="s">
        <v>99</v>
      </c>
    </row>
    <row r="88" spans="1:10" ht="19.5" customHeight="1" x14ac:dyDescent="0.25">
      <c r="A88" s="40">
        <v>66</v>
      </c>
      <c r="B88" s="7" t="s">
        <v>147</v>
      </c>
      <c r="C88" s="61">
        <v>0.99930555555555556</v>
      </c>
      <c r="D88" s="41" t="s">
        <v>96</v>
      </c>
      <c r="E88" s="77" t="s">
        <v>104</v>
      </c>
      <c r="F88" s="95">
        <v>0</v>
      </c>
      <c r="G88" s="11" t="s">
        <v>34</v>
      </c>
      <c r="H88" s="95">
        <v>3</v>
      </c>
      <c r="I88" s="78" t="s">
        <v>97</v>
      </c>
      <c r="J88" s="64" t="s">
        <v>75</v>
      </c>
    </row>
    <row r="89" spans="1:10" ht="15.75" customHeight="1" x14ac:dyDescent="0.25">
      <c r="A89" s="107" t="s">
        <v>173</v>
      </c>
      <c r="B89" s="102"/>
      <c r="C89" s="102"/>
      <c r="D89" s="102"/>
      <c r="E89" s="102"/>
      <c r="F89" s="102"/>
      <c r="G89" s="102"/>
      <c r="H89" s="102"/>
      <c r="I89" s="102"/>
      <c r="J89" s="102"/>
    </row>
    <row r="90" spans="1:10" ht="19.5" customHeight="1" x14ac:dyDescent="0.25">
      <c r="A90" s="56">
        <v>67</v>
      </c>
      <c r="B90" s="7" t="s">
        <v>149</v>
      </c>
      <c r="C90" s="61">
        <v>0.75</v>
      </c>
      <c r="D90" s="57" t="s">
        <v>123</v>
      </c>
      <c r="E90" s="85" t="s">
        <v>127</v>
      </c>
      <c r="F90" s="99">
        <v>1</v>
      </c>
      <c r="G90" s="11" t="s">
        <v>34</v>
      </c>
      <c r="H90" s="99">
        <v>3</v>
      </c>
      <c r="I90" s="86" t="s">
        <v>124</v>
      </c>
      <c r="J90" s="64" t="s">
        <v>67</v>
      </c>
    </row>
    <row r="91" spans="1:10" ht="19.5" customHeight="1" x14ac:dyDescent="0.25">
      <c r="A91" s="56">
        <v>68</v>
      </c>
      <c r="B91" s="7" t="s">
        <v>149</v>
      </c>
      <c r="C91" s="61">
        <v>0.75</v>
      </c>
      <c r="D91" s="57" t="s">
        <v>123</v>
      </c>
      <c r="E91" s="85" t="s">
        <v>125</v>
      </c>
      <c r="F91" s="99">
        <v>2</v>
      </c>
      <c r="G91" s="11" t="s">
        <v>34</v>
      </c>
      <c r="H91" s="99">
        <v>1</v>
      </c>
      <c r="I91" s="86" t="s">
        <v>126</v>
      </c>
      <c r="J91" s="64" t="s">
        <v>86</v>
      </c>
    </row>
    <row r="92" spans="1:10" ht="19.5" customHeight="1" x14ac:dyDescent="0.25">
      <c r="A92" s="52">
        <v>69</v>
      </c>
      <c r="B92" s="7" t="s">
        <v>149</v>
      </c>
      <c r="C92" s="61">
        <v>0.85416666666666663</v>
      </c>
      <c r="D92" s="53" t="s">
        <v>120</v>
      </c>
      <c r="E92" s="83" t="s">
        <v>129</v>
      </c>
      <c r="F92" s="98">
        <v>2</v>
      </c>
      <c r="G92" s="11" t="s">
        <v>34</v>
      </c>
      <c r="H92" s="98">
        <v>2</v>
      </c>
      <c r="I92" s="84" t="s">
        <v>121</v>
      </c>
      <c r="J92" s="64" t="s">
        <v>102</v>
      </c>
    </row>
    <row r="93" spans="1:10" ht="19.5" customHeight="1" x14ac:dyDescent="0.25">
      <c r="A93" s="52">
        <v>70</v>
      </c>
      <c r="B93" s="7" t="s">
        <v>149</v>
      </c>
      <c r="C93" s="61">
        <v>0.85416666666666663</v>
      </c>
      <c r="D93" s="53" t="s">
        <v>120</v>
      </c>
      <c r="E93" s="83" t="s">
        <v>122</v>
      </c>
      <c r="F93" s="98">
        <v>0</v>
      </c>
      <c r="G93" s="11" t="s">
        <v>34</v>
      </c>
      <c r="H93" s="98">
        <v>1</v>
      </c>
      <c r="I93" s="84" t="s">
        <v>128</v>
      </c>
      <c r="J93" s="64" t="s">
        <v>95</v>
      </c>
    </row>
    <row r="94" spans="1:10" ht="19.5" customHeight="1" x14ac:dyDescent="0.25">
      <c r="A94" s="48">
        <v>71</v>
      </c>
      <c r="B94" s="7" t="s">
        <v>149</v>
      </c>
      <c r="C94" s="61">
        <v>0.95833333333333337</v>
      </c>
      <c r="D94" s="49" t="s">
        <v>112</v>
      </c>
      <c r="E94" s="81" t="s">
        <v>114</v>
      </c>
      <c r="F94" s="97">
        <v>2</v>
      </c>
      <c r="G94" s="11" t="s">
        <v>34</v>
      </c>
      <c r="H94" s="97">
        <v>1</v>
      </c>
      <c r="I94" s="82" t="s">
        <v>118</v>
      </c>
      <c r="J94" s="64" t="s">
        <v>115</v>
      </c>
    </row>
    <row r="95" spans="1:10" ht="19.5" customHeight="1" x14ac:dyDescent="0.25">
      <c r="A95" s="48">
        <v>72</v>
      </c>
      <c r="B95" s="7" t="s">
        <v>149</v>
      </c>
      <c r="C95" s="61">
        <v>0.95833333333333337</v>
      </c>
      <c r="D95" s="49" t="s">
        <v>112</v>
      </c>
      <c r="E95" s="81" t="s">
        <v>119</v>
      </c>
      <c r="F95" s="97">
        <v>0</v>
      </c>
      <c r="G95" s="11" t="s">
        <v>34</v>
      </c>
      <c r="H95" s="97">
        <v>4</v>
      </c>
      <c r="I95" s="82" t="s">
        <v>113</v>
      </c>
      <c r="J95" s="64" t="s">
        <v>83</v>
      </c>
    </row>
    <row r="96" spans="1:10" ht="15.75" customHeight="1" x14ac:dyDescent="0.25">
      <c r="F96" s="87"/>
      <c r="H96" s="87"/>
    </row>
    <row r="97" spans="1:10" ht="19.5" customHeight="1" x14ac:dyDescent="0.25">
      <c r="A97" s="112" t="s">
        <v>174</v>
      </c>
      <c r="B97" s="102"/>
      <c r="C97" s="102"/>
      <c r="D97" s="102"/>
      <c r="E97" s="102"/>
      <c r="F97" s="102"/>
      <c r="G97" s="102"/>
      <c r="H97" s="102"/>
      <c r="I97" s="102"/>
      <c r="J97" s="102"/>
    </row>
    <row r="98" spans="1:10" ht="15.75" customHeight="1" x14ac:dyDescent="0.25">
      <c r="F98" s="87"/>
      <c r="H98" s="87"/>
    </row>
    <row r="99" spans="1:10" ht="15.75" customHeight="1" x14ac:dyDescent="0.25">
      <c r="F99" s="87"/>
      <c r="H99" s="87"/>
    </row>
    <row r="100" spans="1:10" ht="15.75" customHeight="1" x14ac:dyDescent="0.25">
      <c r="F100" s="87"/>
      <c r="H100" s="87"/>
    </row>
    <row r="101" spans="1:10" ht="15.75" customHeight="1" x14ac:dyDescent="0.25">
      <c r="F101" s="87"/>
      <c r="H101" s="87"/>
    </row>
    <row r="102" spans="1:10" ht="15.75" customHeight="1" x14ac:dyDescent="0.25">
      <c r="F102" s="87"/>
      <c r="H102" s="87"/>
    </row>
    <row r="103" spans="1:10" ht="15.75" customHeight="1" x14ac:dyDescent="0.25">
      <c r="F103" s="87"/>
      <c r="H103" s="87"/>
    </row>
    <row r="104" spans="1:10" ht="15.75" customHeight="1" x14ac:dyDescent="0.25">
      <c r="F104" s="87"/>
      <c r="H104" s="87"/>
    </row>
    <row r="105" spans="1:10" ht="15.75" customHeight="1" x14ac:dyDescent="0.25">
      <c r="F105" s="87"/>
      <c r="H105" s="87"/>
    </row>
    <row r="106" spans="1:10" ht="15.75" customHeight="1" x14ac:dyDescent="0.25">
      <c r="F106" s="87"/>
      <c r="H106" s="87"/>
    </row>
    <row r="107" spans="1:10" ht="15.75" customHeight="1" x14ac:dyDescent="0.25">
      <c r="F107" s="87"/>
      <c r="H107" s="87"/>
    </row>
    <row r="108" spans="1:10" ht="15.75" customHeight="1" x14ac:dyDescent="0.25">
      <c r="F108" s="87"/>
      <c r="H108" s="87"/>
    </row>
    <row r="109" spans="1:10" ht="15.75" customHeight="1" x14ac:dyDescent="0.25">
      <c r="F109" s="87"/>
      <c r="H109" s="87"/>
    </row>
    <row r="110" spans="1:10" ht="15.75" customHeight="1" x14ac:dyDescent="0.25">
      <c r="F110" s="87"/>
      <c r="H110" s="87"/>
    </row>
    <row r="111" spans="1:10" ht="15.75" customHeight="1" x14ac:dyDescent="0.25">
      <c r="F111" s="87"/>
      <c r="H111" s="87"/>
    </row>
    <row r="112" spans="1:10" ht="15.75" customHeight="1" x14ac:dyDescent="0.25">
      <c r="F112" s="87"/>
      <c r="H112" s="87"/>
    </row>
    <row r="113" spans="6:8" ht="15.75" customHeight="1" x14ac:dyDescent="0.25">
      <c r="F113" s="87"/>
      <c r="H113" s="87"/>
    </row>
    <row r="114" spans="6:8" ht="15.75" customHeight="1" x14ac:dyDescent="0.25">
      <c r="F114" s="87"/>
      <c r="H114" s="87"/>
    </row>
    <row r="115" spans="6:8" ht="15.75" customHeight="1" x14ac:dyDescent="0.25">
      <c r="F115" s="87"/>
      <c r="H115" s="87"/>
    </row>
    <row r="116" spans="6:8" ht="15.75" customHeight="1" x14ac:dyDescent="0.25">
      <c r="F116" s="87"/>
      <c r="H116" s="87"/>
    </row>
    <row r="117" spans="6:8" ht="15.75" customHeight="1" x14ac:dyDescent="0.25">
      <c r="F117" s="87"/>
      <c r="H117" s="87"/>
    </row>
    <row r="118" spans="6:8" ht="15.75" customHeight="1" x14ac:dyDescent="0.25">
      <c r="F118" s="87"/>
      <c r="H118" s="87"/>
    </row>
    <row r="119" spans="6:8" ht="15.75" customHeight="1" x14ac:dyDescent="0.25">
      <c r="F119" s="87"/>
      <c r="H119" s="87"/>
    </row>
    <row r="120" spans="6:8" ht="15.75" customHeight="1" x14ac:dyDescent="0.25">
      <c r="F120" s="87"/>
      <c r="H120" s="87"/>
    </row>
    <row r="121" spans="6:8" ht="15.75" customHeight="1" x14ac:dyDescent="0.25">
      <c r="F121" s="87"/>
      <c r="H121" s="87"/>
    </row>
    <row r="122" spans="6:8" ht="15.75" customHeight="1" x14ac:dyDescent="0.25">
      <c r="F122" s="87"/>
      <c r="H122" s="87"/>
    </row>
    <row r="123" spans="6:8" ht="15.75" customHeight="1" x14ac:dyDescent="0.25">
      <c r="F123" s="87"/>
      <c r="H123" s="87"/>
    </row>
    <row r="124" spans="6:8" ht="15.75" customHeight="1" x14ac:dyDescent="0.25">
      <c r="F124" s="87"/>
      <c r="H124" s="87"/>
    </row>
    <row r="125" spans="6:8" ht="15.75" customHeight="1" x14ac:dyDescent="0.25">
      <c r="F125" s="87"/>
      <c r="H125" s="87"/>
    </row>
    <row r="126" spans="6:8" ht="15.75" customHeight="1" x14ac:dyDescent="0.25">
      <c r="F126" s="87"/>
      <c r="H126" s="87"/>
    </row>
    <row r="127" spans="6:8" ht="15.75" customHeight="1" x14ac:dyDescent="0.25">
      <c r="F127" s="87"/>
      <c r="H127" s="87"/>
    </row>
    <row r="128" spans="6:8" ht="15.75" customHeight="1" x14ac:dyDescent="0.25">
      <c r="F128" s="87"/>
      <c r="H128" s="87"/>
    </row>
    <row r="129" spans="6:8" ht="15.75" customHeight="1" x14ac:dyDescent="0.25">
      <c r="F129" s="87"/>
      <c r="H129" s="87"/>
    </row>
    <row r="130" spans="6:8" ht="15.75" customHeight="1" x14ac:dyDescent="0.25">
      <c r="F130" s="87"/>
      <c r="H130" s="87"/>
    </row>
    <row r="131" spans="6:8" ht="15.75" customHeight="1" x14ac:dyDescent="0.25">
      <c r="F131" s="87"/>
      <c r="H131" s="87"/>
    </row>
    <row r="132" spans="6:8" ht="15.75" customHeight="1" x14ac:dyDescent="0.25">
      <c r="F132" s="87"/>
      <c r="H132" s="87"/>
    </row>
    <row r="133" spans="6:8" ht="15.75" customHeight="1" x14ac:dyDescent="0.25">
      <c r="F133" s="87"/>
      <c r="H133" s="87"/>
    </row>
    <row r="134" spans="6:8" ht="15.75" customHeight="1" x14ac:dyDescent="0.25">
      <c r="F134" s="87"/>
      <c r="H134" s="87"/>
    </row>
    <row r="135" spans="6:8" ht="15.75" customHeight="1" x14ac:dyDescent="0.25">
      <c r="F135" s="87"/>
      <c r="H135" s="87"/>
    </row>
    <row r="136" spans="6:8" ht="15.75" customHeight="1" x14ac:dyDescent="0.25">
      <c r="F136" s="87"/>
      <c r="H136" s="87"/>
    </row>
    <row r="137" spans="6:8" ht="15.75" customHeight="1" x14ac:dyDescent="0.25">
      <c r="F137" s="87"/>
      <c r="H137" s="87"/>
    </row>
    <row r="138" spans="6:8" ht="15.75" customHeight="1" x14ac:dyDescent="0.25">
      <c r="F138" s="87"/>
      <c r="H138" s="87"/>
    </row>
    <row r="139" spans="6:8" ht="15.75" customHeight="1" x14ac:dyDescent="0.25">
      <c r="F139" s="87"/>
      <c r="H139" s="87"/>
    </row>
    <row r="140" spans="6:8" ht="15.75" customHeight="1" x14ac:dyDescent="0.25">
      <c r="F140" s="87"/>
      <c r="H140" s="87"/>
    </row>
    <row r="141" spans="6:8" ht="15.75" customHeight="1" x14ac:dyDescent="0.25">
      <c r="F141" s="87"/>
      <c r="H141" s="87"/>
    </row>
    <row r="142" spans="6:8" ht="15.75" customHeight="1" x14ac:dyDescent="0.25">
      <c r="F142" s="87"/>
      <c r="H142" s="87"/>
    </row>
    <row r="143" spans="6:8" ht="15.75" customHeight="1" x14ac:dyDescent="0.25">
      <c r="F143" s="87"/>
      <c r="H143" s="87"/>
    </row>
    <row r="144" spans="6:8" ht="15.75" customHeight="1" x14ac:dyDescent="0.25">
      <c r="F144" s="87"/>
      <c r="H144" s="87"/>
    </row>
    <row r="145" spans="6:8" ht="15.75" customHeight="1" x14ac:dyDescent="0.25">
      <c r="F145" s="87"/>
      <c r="H145" s="87"/>
    </row>
    <row r="146" spans="6:8" ht="15.75" customHeight="1" x14ac:dyDescent="0.25">
      <c r="F146" s="87"/>
      <c r="H146" s="87"/>
    </row>
    <row r="147" spans="6:8" ht="15.75" customHeight="1" x14ac:dyDescent="0.25">
      <c r="F147" s="87"/>
      <c r="H147" s="87"/>
    </row>
    <row r="148" spans="6:8" ht="15.75" customHeight="1" x14ac:dyDescent="0.25">
      <c r="F148" s="87"/>
      <c r="H148" s="87"/>
    </row>
    <row r="149" spans="6:8" ht="15.75" customHeight="1" x14ac:dyDescent="0.25">
      <c r="F149" s="87"/>
      <c r="H149" s="87"/>
    </row>
    <row r="150" spans="6:8" ht="15.75" customHeight="1" x14ac:dyDescent="0.25">
      <c r="F150" s="87"/>
      <c r="H150" s="87"/>
    </row>
    <row r="151" spans="6:8" ht="15.75" customHeight="1" x14ac:dyDescent="0.25"/>
    <row r="152" spans="6:8" ht="15.75" customHeight="1" x14ac:dyDescent="0.25"/>
    <row r="153" spans="6:8" ht="15.75" customHeight="1" x14ac:dyDescent="0.25"/>
    <row r="154" spans="6:8" ht="15.75" customHeight="1" x14ac:dyDescent="0.25"/>
    <row r="155" spans="6:8" ht="15.75" customHeight="1" x14ac:dyDescent="0.25"/>
    <row r="156" spans="6:8" ht="15.75" customHeight="1" x14ac:dyDescent="0.25"/>
    <row r="157" spans="6:8" ht="15.75" customHeight="1" x14ac:dyDescent="0.25"/>
    <row r="158" spans="6:8" ht="15.75" customHeight="1" x14ac:dyDescent="0.25"/>
    <row r="159" spans="6:8" ht="15.75" customHeight="1" x14ac:dyDescent="0.25"/>
    <row r="160" spans="6:8"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heetProtection sheet="1"/>
  <mergeCells count="23">
    <mergeCell ref="A97:J97"/>
    <mergeCell ref="A17:J17"/>
    <mergeCell ref="A4:J4"/>
    <mergeCell ref="A43:J43"/>
    <mergeCell ref="A38:J38"/>
    <mergeCell ref="A52:J52"/>
    <mergeCell ref="A10:J10"/>
    <mergeCell ref="A28:J28"/>
    <mergeCell ref="A13:J13"/>
    <mergeCell ref="A68:J68"/>
    <mergeCell ref="A63:J63"/>
    <mergeCell ref="A89:J89"/>
    <mergeCell ref="E2:J2"/>
    <mergeCell ref="A58:J58"/>
    <mergeCell ref="A48:J48"/>
    <mergeCell ref="A82:J82"/>
    <mergeCell ref="A1:J1"/>
    <mergeCell ref="A7:J7"/>
    <mergeCell ref="A75:J75"/>
    <mergeCell ref="A3:J3"/>
    <mergeCell ref="A2:D2"/>
    <mergeCell ref="A23:J23"/>
    <mergeCell ref="A32:J32"/>
  </mergeCells>
  <conditionalFormatting sqref="F8:F150">
    <cfRule type="expression" dxfId="1" priority="1">
      <formula>DATE(2026,IF(RIGHT($B8,3)="ene",1,IF(RIGHT($B8,3)="feb",2,IF(RIGHT($B8,3)="mar",3,IF(RIGHT($B8,3)="abr",4,IF(RIGHT($B8,3)="may",5,IF(RIGHT($B8,3)="jun",6,IF(RIGHT($B8,3)="jul",7,IF(RIGHT($B8,3)="ago",8,IF(RIGHT($B8,3)="sep",9,IF(RIGHT($B8,3)="oct",10,IF(RIGHT($B8,3)="nov",11,12))))))))))),MID($B8,5,2))+$C8&lt;=NOW()</formula>
    </cfRule>
  </conditionalFormatting>
  <conditionalFormatting sqref="H8:H150">
    <cfRule type="expression" dxfId="0" priority="2">
      <formula>DATE(2026,IF(RIGHT($B8,3)="ene",1,IF(RIGHT($B8,3)="feb",2,IF(RIGHT($B8,3)="mar",3,IF(RIGHT($B8,3)="abr",4,IF(RIGHT($B8,3)="may",5,IF(RIGHT($B8,3)="jun",6,IF(RIGHT($B8,3)="jul",7,IF(RIGHT($B8,3)="ago",8,IF(RIGHT($B8,3)="sep",9,IF(RIGHT($B8,3)="oct",10,IF(RIGHT($B8,3)="nov",11,12))))))))))),MID($B8,5,2))+$C8&lt;=NOW()</formula>
    </cfRule>
  </conditionalFormatting>
  <dataValidations count="1">
    <dataValidation type="custom" allowBlank="1" showErrorMessage="1" errorTitle="Partido Bloqueado" error="Este partido ya ha pasado o comenzado. El ingreso de resultados (GL y GV) está bloqueado." sqref="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7" xr:uid="{00000000-0002-0000-1200-000000000000}">
      <formula1>DATE(2026,IF(RIGHT($B8,3)="ene",1,IF(RIGHT($B8,3)="feb",2,IF(RIGHT($B8,3)="mar",3,IF(RIGHT($B8,3)="abr",4,IF(RIGHT($B8,3)="may",5,IF(RIGHT($B8,3)="jun",6,IF(RIGHT($B8,3)="jul",7,IF(RIGHT($B8,3)="ago",8,IF(RIGHT($B8,3)="sep",9,IF(RIGHT($B8,3)="oct",10,IF(RIGHT($B8,3)="nov",11,12))))))))))),MID($B8,5,2))+$C8&gt;NOW()</formula1>
    </dataValidation>
  </dataValidation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TABLA_GENERAL</vt:lpstr>
      <vt:lpstr>RESULTADOS_OFICIALES</vt:lpstr>
      <vt:lpstr>MIPRODE_Marcos</vt:lpstr>
      <vt:lpstr>MIPRODE_Martin</vt:lpstr>
      <vt:lpstr>MIPRODE_Alejandra</vt:lpstr>
      <vt:lpstr>MIPRODE_Claudia</vt:lpstr>
      <vt:lpstr>MIPRODE_Fernando</vt:lpstr>
      <vt:lpstr>MIPRODE_Gustavo</vt:lpstr>
      <vt:lpstr>MIPRODE_Janina</vt:lpstr>
      <vt:lpstr>MIPRODE_Julieta</vt:lpstr>
      <vt:lpstr>MIPRODE_Mariela</vt:lpstr>
      <vt:lpstr>MIPRODE_Matias</vt:lpstr>
      <vt:lpstr>MIPRODE_Paula</vt:lpstr>
      <vt:lpstr>MIPRODE_Raul</vt:lpstr>
      <vt:lpstr>MIPRODE_Ruben</vt:lpstr>
      <vt:lpstr>MIPRODE_Sabrina</vt:lpstr>
      <vt:lpstr>MIPRODE_Samanta</vt:lpstr>
      <vt:lpstr>MIPRODE_Vanesa</vt:lpstr>
      <vt:lpstr>MIPRODE_Yesica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Marquinhos</cp:lastModifiedBy>
  <cp:lastPrinted>2026-06-19T12:29:52Z</cp:lastPrinted>
  <dcterms:created xsi:type="dcterms:W3CDTF">2026-06-12T03:38:18Z</dcterms:created>
  <dcterms:modified xsi:type="dcterms:W3CDTF">2026-06-21T02:28:25Z</dcterms:modified>
</cp:coreProperties>
</file>